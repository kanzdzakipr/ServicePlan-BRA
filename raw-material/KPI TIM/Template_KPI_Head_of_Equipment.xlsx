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BINA REKAYASA ANUGRAH\"/>
    </mc:Choice>
  </mc:AlternateContent>
  <xr:revisionPtr revIDLastSave="0" documentId="13_ncr:1_{D01B4798-4895-4712-B4FD-A6B0751B8391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KPI Head of Equipment" sheetId="5" r:id="rId1"/>
    <sheet name="Rekap Bulanan" sheetId="6" r:id="rId2"/>
    <sheet name="lampiran laporan" sheetId="2" r:id="rId3"/>
    <sheet name="summary jo dan order parts meka" sheetId="4" r:id="rId4"/>
    <sheet name="excutive summary" sheetId="3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6" l="1"/>
  <c r="C12" i="6"/>
  <c r="C11" i="6"/>
  <c r="C10" i="6"/>
  <c r="C9" i="6"/>
  <c r="C8" i="6"/>
  <c r="C7" i="6"/>
  <c r="C6" i="6"/>
  <c r="C5" i="6"/>
  <c r="C4" i="6"/>
  <c r="C3" i="6"/>
  <c r="C2" i="6"/>
  <c r="H14" i="5"/>
  <c r="H13" i="5"/>
  <c r="H12" i="5"/>
  <c r="H11" i="5"/>
  <c r="H10" i="5"/>
  <c r="H9" i="5"/>
  <c r="H8" i="5"/>
  <c r="H7" i="5"/>
  <c r="H6" i="5"/>
  <c r="H5" i="5"/>
  <c r="H15" i="5" s="1"/>
</calcChain>
</file>

<file path=xl/sharedStrings.xml><?xml version="1.0" encoding="utf-8"?>
<sst xmlns="http://schemas.openxmlformats.org/spreadsheetml/2006/main" count="113" uniqueCount="103">
  <si>
    <t>No</t>
  </si>
  <si>
    <t>Aspek KPI</t>
  </si>
  <si>
    <t>Indikator</t>
  </si>
  <si>
    <t>Target</t>
  </si>
  <si>
    <t>Realisasi</t>
  </si>
  <si>
    <t>Bobot (%)</t>
  </si>
  <si>
    <t>Nilai Bobot</t>
  </si>
  <si>
    <t>Catatan</t>
  </si>
  <si>
    <t>RTW &amp; Downtime</t>
  </si>
  <si>
    <t>% unit selesai ≤ target RTW</t>
  </si>
  <si>
    <t>≥ 90%</t>
  </si>
  <si>
    <t>Rata-rata downtime per unit</t>
  </si>
  <si>
    <t>≤ standar</t>
  </si>
  <si>
    <t>Kepatuhan PM tepat waktu</t>
  </si>
  <si>
    <t>≥ 95%</t>
  </si>
  <si>
    <t>Percepatan</t>
  </si>
  <si>
    <t>Waktu respon awal kerusakan</t>
  </si>
  <si>
    <t>≤ 24 jam</t>
  </si>
  <si>
    <t>Keterlambatan karena spare part</t>
  </si>
  <si>
    <t>≤ 10%</t>
  </si>
  <si>
    <t>Keterlambatan karena manpower</t>
  </si>
  <si>
    <t>≤ 5%</t>
  </si>
  <si>
    <t>Biaya &amp; Kualitas</t>
  </si>
  <si>
    <t>Deviasi biaya corrective</t>
  </si>
  <si>
    <t>≤ 110%</t>
  </si>
  <si>
    <t>Repeat breakdown ≤ 30 hari</t>
  </si>
  <si>
    <t>Kepemimpinan</t>
  </si>
  <si>
    <t>Monitoring &amp; pelaporan unit</t>
  </si>
  <si>
    <t>Konsisten</t>
  </si>
  <si>
    <t>Inisiatif percepatan perbaikan</t>
  </si>
  <si>
    <t>Aktif</t>
  </si>
  <si>
    <t>TOTAL NILAI</t>
  </si>
  <si>
    <t>Interpretasi Nilai:</t>
  </si>
  <si>
    <r>
      <t>≥ 85</t>
    </r>
    <r>
      <rPr>
        <sz val="11"/>
        <color theme="1"/>
        <rFont val="Calibri"/>
        <family val="2"/>
        <scheme val="minor"/>
      </rPr>
      <t xml:space="preserve"> → Sangat Baik</t>
    </r>
  </si>
  <si>
    <r>
      <t>75 – 84</t>
    </r>
    <r>
      <rPr>
        <sz val="11"/>
        <color theme="1"/>
        <rFont val="Calibri"/>
        <family val="2"/>
        <scheme val="minor"/>
      </rPr>
      <t xml:space="preserve"> → Baik</t>
    </r>
  </si>
  <si>
    <r>
      <t>65 – 74</t>
    </r>
    <r>
      <rPr>
        <sz val="11"/>
        <color theme="1"/>
        <rFont val="Calibri"/>
        <family val="2"/>
        <scheme val="minor"/>
      </rPr>
      <t xml:space="preserve"> → Cukup (perlu perbaikan)</t>
    </r>
  </si>
  <si>
    <r>
      <t>&lt; 65</t>
    </r>
    <r>
      <rPr>
        <sz val="11"/>
        <color theme="1"/>
        <rFont val="Calibri"/>
        <family val="2"/>
        <scheme val="minor"/>
      </rPr>
      <t xml:space="preserve"> → Tidak efektif / perlu evaluasi serius</t>
    </r>
  </si>
  <si>
    <t>HEAD OF EQUIPMENT – KONTROL PERCEPATAN PERBAIKAN</t>
  </si>
  <si>
    <t>Tanggal Laporan</t>
  </si>
  <si>
    <t>Unit / No Lambung</t>
  </si>
  <si>
    <t>Lokasi</t>
  </si>
  <si>
    <t>Jenis Kerusakan</t>
  </si>
  <si>
    <t>Kategori (Teknis / Non-Teknis)</t>
  </si>
  <si>
    <t>Tanggal &amp; Jam Down</t>
  </si>
  <si>
    <t>Target RTW</t>
  </si>
  <si>
    <t>Realisasi RTW</t>
  </si>
  <si>
    <t>Durasi Down (hari)</t>
  </si>
  <si>
    <t>Ketepatan Waktu (Tepat / Terlambat)</t>
  </si>
  <si>
    <t>PIC Mekanik</t>
  </si>
  <si>
    <t>Status Pekerjaan</t>
  </si>
  <si>
    <t>Monitoring Head of Equipment</t>
  </si>
  <si>
    <t>Rekomendasi / Eskalasi</t>
  </si>
  <si>
    <t>target:
❌ Tidak ada unit down &gt; 7 hari
❌ Tidak ada unit kronis &gt; 14 hari</t>
  </si>
  <si>
    <t>Rata-rata downtime per unit, Standar acuan: Dump truck: ≤ 5–7 hari (corrective standar), Alat berat: sesuai jenis pekerjaan. ≥ 95% RTW tepat waktu sesuai target yang disepakati RTW harus final, bukan RTW bersyarat tanpa uji fungsi</t>
  </si>
  <si>
    <r>
      <t xml:space="preserve">Penurunan kerugian downtime </t>
    </r>
    <r>
      <rPr>
        <b/>
        <sz val="11"/>
        <color theme="1"/>
        <rFont val="Calibri"/>
        <family val="2"/>
        <scheme val="minor"/>
      </rPr>
      <t>≥ 30–40% / bulan</t>
    </r>
  </si>
  <si>
    <t>Indikator: KPI mekanik tercapai (%),  Jumlah sanksi / pembinaan menurun</t>
  </si>
  <si>
    <t>Downtime karena parts unavailable = 0</t>
  </si>
  <si>
    <t>A. Highlight Kinerja Periode Ini</t>
  </si>
  <si>
    <t>Ketersediaan unit (Availability): ____%</t>
  </si>
  <si>
    <t>Utilisasi (Utilization): ____%</t>
  </si>
  <si>
    <t>Downtime total: ____ jam / ____ hari</t>
  </si>
  <si>
    <t>Unit Down kritikal: ____ unit (sebutkan kode)</t>
  </si>
  <si>
    <t>Pencapaian PM on-time: ____%</t>
  </si>
  <si>
    <t>Corrective selesai sesuai target (RTW on-time): ____%</t>
  </si>
  <si>
    <t>Biaya maintenance (MTD): Rp ____</t>
  </si>
  <si>
    <t>Temuan utama &amp; keputusan yang dibutuhkan: ____</t>
  </si>
  <si>
    <t>Dampak:</t>
  </si>
  <si>
    <t xml:space="preserve">Aksi: </t>
  </si>
  <si>
    <t xml:space="preserve">Target: </t>
  </si>
  <si>
    <t xml:space="preserve">Masalah: </t>
  </si>
  <si>
    <t>(silakan gunakan template laporan yang sudah biasa digunakan )</t>
  </si>
  <si>
    <t>Executive Summary</t>
  </si>
  <si>
    <t>Masalah Utama &amp; Aksi Cepat</t>
  </si>
  <si>
    <t>B</t>
  </si>
  <si>
    <t xml:space="preserve"> (jo mekanik, dll)</t>
  </si>
  <si>
    <t>koordonasi tim, Solusi percepatan (shift, vendor, prioritas)</t>
  </si>
  <si>
    <t>Kerusakan ulang ≤ 30 hari</t>
  </si>
  <si>
    <t>PM on-time (%), Breakdown akibat PM gagal NIHIL, PM dilaksanakan sesuai dengan  standar pelaksanaan</t>
  </si>
  <si>
    <t>NO</t>
  </si>
  <si>
    <t>Nama Mekanik</t>
  </si>
  <si>
    <t>Tanggal</t>
  </si>
  <si>
    <t xml:space="preserve">Ya </t>
  </si>
  <si>
    <t>Tidak</t>
  </si>
  <si>
    <t>Jam Jo mekanik dan Jo parts</t>
  </si>
  <si>
    <t>Membuat JO mekanik</t>
  </si>
  <si>
    <t>summary jo order mekanik dan order parts mekanik (/ bulan)</t>
  </si>
  <si>
    <t>Skor (1-5) (contoh)</t>
  </si>
  <si>
    <t>Petunjuk: Isi kolom 'Skor (1-5)'. Nilai Bobot otomatis = Skor × Bobot / 5. Total Nilai otomatis di baris TOTAL.</t>
  </si>
  <si>
    <t>Bulan</t>
  </si>
  <si>
    <t>Total Nilai KPI</t>
  </si>
  <si>
    <t>Kategori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</si>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</sst>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Tren Kinerja Head of Equipment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'Rekap Bulanan'!$B$1</c:f>
              <c:strCache>
                <c:ptCount val="1"/>
                <c:pt idx="0">
                  <c:v>Total Nilai KPI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'Rekap Bulanan'!$A$2:$A$13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'Rekap Bulanan'!$B$2:$B$13</c:f>
              <c:numCache>
                <c:formatCode>General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37-4DEC-915C-490424D33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Bulan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Total Nilai KPI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6BC9A-26CA-4A33-8254-1D3A510BA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_KPI_Head_of_Equipment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 Head of Equipment"/>
      <sheetName val="Rekap Bulanan"/>
    </sheetNames>
    <sheetDataSet>
      <sheetData sheetId="0"/>
      <sheetData sheetId="1">
        <row r="1">
          <cell r="B1" t="str">
            <v>Total Nilai KPI</v>
          </cell>
        </row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Mei</v>
          </cell>
        </row>
        <row r="7">
          <cell r="A7" t="str">
            <v>Jun</v>
          </cell>
        </row>
        <row r="8">
          <cell r="A8" t="str">
            <v>Jul</v>
          </cell>
        </row>
        <row r="9">
          <cell r="A9" t="str">
            <v>Agu</v>
          </cell>
        </row>
        <row r="10">
          <cell r="A10" t="str">
            <v>Sep</v>
          </cell>
        </row>
        <row r="11">
          <cell r="A11" t="str">
            <v>Okt</v>
          </cell>
        </row>
        <row r="12">
          <cell r="A12" t="str">
            <v>Nov</v>
          </cell>
        </row>
        <row r="13">
          <cell r="A13" t="str">
            <v>Des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F352-D50E-45A8-B934-673575B123EF}">
  <dimension ref="A1:I28"/>
  <sheetViews>
    <sheetView tabSelected="1" workbookViewId="0">
      <pane ySplit="4" topLeftCell="A5" activePane="bottomLeft" state="frozen"/>
      <selection activeCell="D6" sqref="D6"/>
      <selection pane="bottomLeft" activeCell="G18" sqref="G18"/>
    </sheetView>
  </sheetViews>
  <sheetFormatPr defaultRowHeight="14.4" x14ac:dyDescent="0.3"/>
  <cols>
    <col min="1" max="2" width="22" customWidth="1"/>
    <col min="3" max="3" width="28.6640625" bestFit="1" customWidth="1"/>
    <col min="4" max="8" width="22" customWidth="1"/>
    <col min="9" max="9" width="87.77734375" bestFit="1" customWidth="1"/>
  </cols>
  <sheetData>
    <row r="1" spans="1:9" x14ac:dyDescent="0.3">
      <c r="A1" s="3" t="s">
        <v>37</v>
      </c>
    </row>
    <row r="2" spans="1:9" x14ac:dyDescent="0.3">
      <c r="A2" s="3"/>
    </row>
    <row r="3" spans="1:9" x14ac:dyDescent="0.3">
      <c r="A3" s="3"/>
    </row>
    <row r="4" spans="1:9" x14ac:dyDescent="0.3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86</v>
      </c>
      <c r="G4" s="14" t="s">
        <v>5</v>
      </c>
      <c r="H4" s="14" t="s">
        <v>6</v>
      </c>
      <c r="I4" s="14" t="s">
        <v>7</v>
      </c>
    </row>
    <row r="5" spans="1:9" x14ac:dyDescent="0.3">
      <c r="A5" s="6">
        <v>1</v>
      </c>
      <c r="B5" s="6" t="s">
        <v>8</v>
      </c>
      <c r="C5" s="6" t="s">
        <v>9</v>
      </c>
      <c r="D5" s="6" t="s">
        <v>10</v>
      </c>
      <c r="E5" s="6"/>
      <c r="F5" s="6">
        <v>5</v>
      </c>
      <c r="G5" s="6">
        <v>15</v>
      </c>
      <c r="H5" s="6">
        <f t="shared" ref="H5:H14" si="0">IFERROR(F5*G5/5,0)</f>
        <v>15</v>
      </c>
      <c r="I5" s="14" t="s">
        <v>7</v>
      </c>
    </row>
    <row r="6" spans="1:9" ht="72" x14ac:dyDescent="0.3">
      <c r="A6" s="6">
        <v>2</v>
      </c>
      <c r="B6" s="6" t="s">
        <v>8</v>
      </c>
      <c r="C6" s="6" t="s">
        <v>11</v>
      </c>
      <c r="D6" s="6" t="s">
        <v>12</v>
      </c>
      <c r="E6" s="6"/>
      <c r="F6" s="6">
        <v>4</v>
      </c>
      <c r="G6" s="6">
        <v>20</v>
      </c>
      <c r="H6" s="6">
        <f t="shared" si="0"/>
        <v>16</v>
      </c>
      <c r="I6" s="15" t="s">
        <v>52</v>
      </c>
    </row>
    <row r="7" spans="1:9" ht="72" x14ac:dyDescent="0.3">
      <c r="A7" s="6">
        <v>3</v>
      </c>
      <c r="B7" s="6" t="s">
        <v>8</v>
      </c>
      <c r="C7" s="6" t="s">
        <v>13</v>
      </c>
      <c r="D7" s="6" t="s">
        <v>14</v>
      </c>
      <c r="E7" s="6"/>
      <c r="F7" s="6">
        <v>4</v>
      </c>
      <c r="G7" s="6">
        <v>10</v>
      </c>
      <c r="H7" s="6">
        <f t="shared" si="0"/>
        <v>8</v>
      </c>
      <c r="I7" s="15" t="s">
        <v>53</v>
      </c>
    </row>
    <row r="8" spans="1:9" x14ac:dyDescent="0.3">
      <c r="A8" s="6">
        <v>4</v>
      </c>
      <c r="B8" s="6" t="s">
        <v>15</v>
      </c>
      <c r="C8" s="6" t="s">
        <v>16</v>
      </c>
      <c r="D8" s="6" t="s">
        <v>17</v>
      </c>
      <c r="E8" s="6"/>
      <c r="F8" s="6">
        <v>3</v>
      </c>
      <c r="G8" s="6">
        <v>10</v>
      </c>
      <c r="H8" s="6">
        <f t="shared" si="0"/>
        <v>6</v>
      </c>
      <c r="I8" s="6" t="s">
        <v>77</v>
      </c>
    </row>
    <row r="9" spans="1:9" x14ac:dyDescent="0.3">
      <c r="A9" s="6">
        <v>5</v>
      </c>
      <c r="B9" s="6" t="s">
        <v>15</v>
      </c>
      <c r="C9" s="6" t="s">
        <v>18</v>
      </c>
      <c r="D9" s="6" t="s">
        <v>19</v>
      </c>
      <c r="E9" s="6"/>
      <c r="F9" s="6">
        <v>1</v>
      </c>
      <c r="G9" s="6">
        <v>10</v>
      </c>
      <c r="H9" s="6">
        <f t="shared" si="0"/>
        <v>2</v>
      </c>
      <c r="I9" s="6" t="s">
        <v>54</v>
      </c>
    </row>
    <row r="10" spans="1:9" x14ac:dyDescent="0.3">
      <c r="A10" s="6">
        <v>6</v>
      </c>
      <c r="B10" s="6" t="s">
        <v>15</v>
      </c>
      <c r="C10" s="6" t="s">
        <v>20</v>
      </c>
      <c r="D10" s="6" t="s">
        <v>21</v>
      </c>
      <c r="E10" s="6"/>
      <c r="F10" s="6">
        <v>1</v>
      </c>
      <c r="G10" s="6">
        <v>5</v>
      </c>
      <c r="H10" s="6">
        <f t="shared" si="0"/>
        <v>1</v>
      </c>
      <c r="I10" s="6" t="s">
        <v>56</v>
      </c>
    </row>
    <row r="11" spans="1:9" x14ac:dyDescent="0.3">
      <c r="A11" s="6">
        <v>7</v>
      </c>
      <c r="B11" s="6" t="s">
        <v>22</v>
      </c>
      <c r="C11" s="6" t="s">
        <v>23</v>
      </c>
      <c r="D11" s="6" t="s">
        <v>24</v>
      </c>
      <c r="E11" s="6"/>
      <c r="F11" s="6">
        <v>1</v>
      </c>
      <c r="G11" s="6">
        <v>10</v>
      </c>
      <c r="H11" s="6">
        <f t="shared" si="0"/>
        <v>2</v>
      </c>
      <c r="I11" s="6" t="s">
        <v>55</v>
      </c>
    </row>
    <row r="12" spans="1:9" x14ac:dyDescent="0.3">
      <c r="A12" s="6">
        <v>8</v>
      </c>
      <c r="B12" s="6" t="s">
        <v>22</v>
      </c>
      <c r="C12" s="6" t="s">
        <v>25</v>
      </c>
      <c r="D12" s="6" t="s">
        <v>21</v>
      </c>
      <c r="E12" s="6"/>
      <c r="F12" s="6">
        <v>1</v>
      </c>
      <c r="G12" s="6">
        <v>10</v>
      </c>
      <c r="H12" s="6">
        <f t="shared" si="0"/>
        <v>2</v>
      </c>
      <c r="I12" s="6" t="s">
        <v>76</v>
      </c>
    </row>
    <row r="13" spans="1:9" x14ac:dyDescent="0.3">
      <c r="A13" s="6">
        <v>9</v>
      </c>
      <c r="B13" s="6" t="s">
        <v>26</v>
      </c>
      <c r="C13" s="6" t="s">
        <v>27</v>
      </c>
      <c r="D13" s="6" t="s">
        <v>28</v>
      </c>
      <c r="E13" s="6"/>
      <c r="F13" s="6">
        <v>1</v>
      </c>
      <c r="G13" s="6">
        <v>5</v>
      </c>
      <c r="H13" s="6">
        <f t="shared" si="0"/>
        <v>1</v>
      </c>
      <c r="I13" s="6" t="s">
        <v>74</v>
      </c>
    </row>
    <row r="14" spans="1:9" x14ac:dyDescent="0.3">
      <c r="A14" s="6">
        <v>10</v>
      </c>
      <c r="B14" s="6" t="s">
        <v>26</v>
      </c>
      <c r="C14" s="6" t="s">
        <v>29</v>
      </c>
      <c r="D14" s="6" t="s">
        <v>30</v>
      </c>
      <c r="E14" s="6"/>
      <c r="F14" s="6">
        <v>1</v>
      </c>
      <c r="G14" s="6">
        <v>5</v>
      </c>
      <c r="H14" s="6">
        <f t="shared" si="0"/>
        <v>1</v>
      </c>
      <c r="I14" s="6" t="s">
        <v>75</v>
      </c>
    </row>
    <row r="15" spans="1:9" x14ac:dyDescent="0.3">
      <c r="A15" s="6"/>
      <c r="B15" s="6"/>
      <c r="C15" s="6"/>
      <c r="D15" s="6"/>
      <c r="E15" s="6"/>
      <c r="F15" s="16" t="s">
        <v>31</v>
      </c>
      <c r="G15" s="6"/>
      <c r="H15" s="16">
        <f>SUM(H5:H14)</f>
        <v>54</v>
      </c>
      <c r="I15" s="6"/>
    </row>
    <row r="17" spans="1:9" x14ac:dyDescent="0.3">
      <c r="A17" s="12" t="s">
        <v>87</v>
      </c>
      <c r="B17" s="13"/>
      <c r="C17" s="13"/>
      <c r="D17" s="13"/>
      <c r="E17" s="13"/>
      <c r="F17" s="13"/>
      <c r="G17" s="13"/>
      <c r="H17" s="13"/>
      <c r="I17" s="13"/>
    </row>
    <row r="20" spans="1:9" ht="18" x14ac:dyDescent="0.3">
      <c r="A20" s="1" t="s">
        <v>32</v>
      </c>
    </row>
    <row r="21" spans="1:9" x14ac:dyDescent="0.3">
      <c r="A21" s="2"/>
    </row>
    <row r="22" spans="1:9" x14ac:dyDescent="0.3">
      <c r="A22" s="4" t="s">
        <v>33</v>
      </c>
    </row>
    <row r="23" spans="1:9" x14ac:dyDescent="0.3">
      <c r="A23" s="2"/>
    </row>
    <row r="24" spans="1:9" x14ac:dyDescent="0.3">
      <c r="A24" s="4" t="s">
        <v>34</v>
      </c>
    </row>
    <row r="25" spans="1:9" x14ac:dyDescent="0.3">
      <c r="A25" s="2"/>
    </row>
    <row r="26" spans="1:9" x14ac:dyDescent="0.3">
      <c r="A26" s="4" t="s">
        <v>35</v>
      </c>
    </row>
    <row r="27" spans="1:9" x14ac:dyDescent="0.3">
      <c r="A27" s="2"/>
    </row>
    <row r="28" spans="1:9" x14ac:dyDescent="0.3">
      <c r="A28" s="4" t="s">
        <v>36</v>
      </c>
    </row>
  </sheetData>
  <mergeCells count="1">
    <mergeCell ref="A17:I17"/>
  </mergeCells>
  <conditionalFormatting sqref="F5:F14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H15">
    <cfRule type="colorScale" priority="2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A99F-BE72-4F32-9668-965B5EC0B8D2}">
  <dimension ref="A1:D13"/>
  <sheetViews>
    <sheetView workbookViewId="0">
      <pane ySplit="1" topLeftCell="A2" activePane="bottomLeft" state="frozen"/>
      <selection activeCell="D6" sqref="D6"/>
      <selection pane="bottomLeft" activeCell="D6" sqref="D6"/>
    </sheetView>
  </sheetViews>
  <sheetFormatPr defaultRowHeight="14.4" x14ac:dyDescent="0.3"/>
  <cols>
    <col min="1" max="1" width="10" customWidth="1"/>
    <col min="2" max="2" width="18" customWidth="1"/>
    <col min="3" max="3" width="15" customWidth="1"/>
    <col min="4" max="4" width="35" customWidth="1"/>
  </cols>
  <sheetData>
    <row r="1" spans="1:4" x14ac:dyDescent="0.3">
      <c r="A1" s="11" t="s">
        <v>88</v>
      </c>
      <c r="B1" s="11" t="s">
        <v>89</v>
      </c>
      <c r="C1" s="11" t="s">
        <v>90</v>
      </c>
      <c r="D1" s="11" t="s">
        <v>7</v>
      </c>
    </row>
    <row r="2" spans="1:4" x14ac:dyDescent="0.3">
      <c r="A2" t="s">
        <v>91</v>
      </c>
      <c r="C2" t="str">
        <f t="shared" ref="C2:C13" si="0">IF(B2="","",IF(B2&gt;=85,"Sangat Baik",IF(B2&gt;=75,"Baik",IF(B2&gt;=65,"Cukup","Perlu Evaluasi"))))</f>
        <v/>
      </c>
    </row>
    <row r="3" spans="1:4" x14ac:dyDescent="0.3">
      <c r="A3" t="s">
        <v>92</v>
      </c>
      <c r="C3" t="str">
        <f t="shared" si="0"/>
        <v/>
      </c>
    </row>
    <row r="4" spans="1:4" x14ac:dyDescent="0.3">
      <c r="A4" t="s">
        <v>93</v>
      </c>
      <c r="C4" t="str">
        <f t="shared" si="0"/>
        <v/>
      </c>
    </row>
    <row r="5" spans="1:4" x14ac:dyDescent="0.3">
      <c r="A5" t="s">
        <v>94</v>
      </c>
      <c r="C5" t="str">
        <f t="shared" si="0"/>
        <v/>
      </c>
    </row>
    <row r="6" spans="1:4" x14ac:dyDescent="0.3">
      <c r="A6" t="s">
        <v>95</v>
      </c>
      <c r="C6" t="str">
        <f t="shared" si="0"/>
        <v/>
      </c>
    </row>
    <row r="7" spans="1:4" x14ac:dyDescent="0.3">
      <c r="A7" t="s">
        <v>96</v>
      </c>
      <c r="C7" t="str">
        <f t="shared" si="0"/>
        <v/>
      </c>
    </row>
    <row r="8" spans="1:4" x14ac:dyDescent="0.3">
      <c r="A8" t="s">
        <v>97</v>
      </c>
      <c r="C8" t="str">
        <f t="shared" si="0"/>
        <v/>
      </c>
    </row>
    <row r="9" spans="1:4" x14ac:dyDescent="0.3">
      <c r="A9" t="s">
        <v>98</v>
      </c>
      <c r="C9" t="str">
        <f t="shared" si="0"/>
        <v/>
      </c>
    </row>
    <row r="10" spans="1:4" x14ac:dyDescent="0.3">
      <c r="A10" t="s">
        <v>99</v>
      </c>
      <c r="C10" t="str">
        <f t="shared" si="0"/>
        <v/>
      </c>
    </row>
    <row r="11" spans="1:4" x14ac:dyDescent="0.3">
      <c r="A11" t="s">
        <v>100</v>
      </c>
      <c r="C11" t="str">
        <f t="shared" si="0"/>
        <v/>
      </c>
    </row>
    <row r="12" spans="1:4" x14ac:dyDescent="0.3">
      <c r="A12" t="s">
        <v>101</v>
      </c>
      <c r="C12" t="str">
        <f t="shared" si="0"/>
        <v/>
      </c>
    </row>
    <row r="13" spans="1:4" x14ac:dyDescent="0.3">
      <c r="A13" t="s">
        <v>102</v>
      </c>
      <c r="C13" t="str">
        <f t="shared" si="0"/>
        <v/>
      </c>
    </row>
  </sheetData>
  <conditionalFormatting sqref="B2:B13">
    <cfRule type="colorScale" priority="1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40EA-31EA-4AF3-974A-B8D0751B4204}">
  <dimension ref="A1:N26"/>
  <sheetViews>
    <sheetView topLeftCell="A13" zoomScale="68" zoomScaleNormal="68" workbookViewId="0">
      <selection activeCell="G28" sqref="G28"/>
    </sheetView>
  </sheetViews>
  <sheetFormatPr defaultRowHeight="14.4" x14ac:dyDescent="0.3"/>
  <cols>
    <col min="1" max="14" width="24" customWidth="1"/>
  </cols>
  <sheetData>
    <row r="1" spans="1:14" ht="28.8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</row>
    <row r="2" spans="1:1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6" spans="1:14" x14ac:dyDescent="0.3">
      <c r="A26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F1DD-B387-4B22-80F2-C5840E3DB0B6}">
  <dimension ref="A1:F21"/>
  <sheetViews>
    <sheetView topLeftCell="A4" workbookViewId="0">
      <selection activeCell="J28" sqref="J28:J30"/>
    </sheetView>
  </sheetViews>
  <sheetFormatPr defaultRowHeight="14.4" x14ac:dyDescent="0.3"/>
  <cols>
    <col min="2" max="2" width="13.33203125" bestFit="1" customWidth="1"/>
    <col min="5" max="5" width="11.33203125" customWidth="1"/>
    <col min="6" max="6" width="24.21875" bestFit="1" customWidth="1"/>
  </cols>
  <sheetData>
    <row r="1" spans="1:6" x14ac:dyDescent="0.3">
      <c r="A1" t="s">
        <v>85</v>
      </c>
    </row>
    <row r="2" spans="1:6" x14ac:dyDescent="0.3">
      <c r="A2" s="9" t="s">
        <v>78</v>
      </c>
      <c r="B2" s="9" t="s">
        <v>79</v>
      </c>
      <c r="C2" s="9" t="s">
        <v>80</v>
      </c>
      <c r="D2" s="9" t="s">
        <v>84</v>
      </c>
      <c r="E2" s="9"/>
      <c r="F2" s="10" t="s">
        <v>83</v>
      </c>
    </row>
    <row r="3" spans="1:6" x14ac:dyDescent="0.3">
      <c r="A3" s="9"/>
      <c r="B3" s="9"/>
      <c r="C3" s="9"/>
      <c r="D3" s="6" t="s">
        <v>81</v>
      </c>
      <c r="E3" s="6" t="s">
        <v>82</v>
      </c>
      <c r="F3" s="10"/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A7" s="6"/>
      <c r="B7" s="6"/>
      <c r="C7" s="6"/>
      <c r="D7" s="6"/>
      <c r="E7" s="6"/>
      <c r="F7" s="6"/>
    </row>
    <row r="8" spans="1:6" x14ac:dyDescent="0.3">
      <c r="A8" s="6"/>
      <c r="B8" s="6"/>
      <c r="C8" s="6"/>
      <c r="D8" s="6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0" spans="1:6" x14ac:dyDescent="0.3">
      <c r="A10" s="6"/>
      <c r="B10" s="6"/>
      <c r="C10" s="6"/>
      <c r="D10" s="6"/>
      <c r="E10" s="6"/>
      <c r="F10" s="6"/>
    </row>
    <row r="11" spans="1:6" x14ac:dyDescent="0.3">
      <c r="A11" s="6"/>
      <c r="B11" s="6"/>
      <c r="C11" s="6"/>
      <c r="D11" s="6"/>
      <c r="E11" s="6"/>
      <c r="F11" s="6"/>
    </row>
    <row r="12" spans="1:6" x14ac:dyDescent="0.3">
      <c r="A12" s="6"/>
      <c r="B12" s="6"/>
      <c r="C12" s="6"/>
      <c r="D12" s="6"/>
      <c r="E12" s="6"/>
      <c r="F12" s="6"/>
    </row>
    <row r="13" spans="1:6" x14ac:dyDescent="0.3">
      <c r="A13" s="6"/>
      <c r="B13" s="6"/>
      <c r="C13" s="6"/>
      <c r="D13" s="6"/>
      <c r="E13" s="6"/>
      <c r="F13" s="6"/>
    </row>
    <row r="14" spans="1:6" x14ac:dyDescent="0.3">
      <c r="A14" s="6"/>
      <c r="B14" s="6"/>
      <c r="C14" s="6"/>
      <c r="D14" s="6"/>
      <c r="E14" s="6"/>
      <c r="F14" s="6"/>
    </row>
    <row r="15" spans="1:6" x14ac:dyDescent="0.3">
      <c r="A15" s="6"/>
      <c r="B15" s="6"/>
      <c r="C15" s="6"/>
      <c r="D15" s="6"/>
      <c r="E15" s="6"/>
      <c r="F15" s="6"/>
    </row>
    <row r="16" spans="1:6" x14ac:dyDescent="0.3">
      <c r="A16" s="6"/>
      <c r="B16" s="6"/>
      <c r="C16" s="6"/>
      <c r="D16" s="6"/>
      <c r="E16" s="6"/>
      <c r="F16" s="6"/>
    </row>
    <row r="17" spans="1:6" x14ac:dyDescent="0.3">
      <c r="A17" s="6"/>
      <c r="B17" s="6"/>
      <c r="C17" s="6"/>
      <c r="D17" s="6"/>
      <c r="E17" s="6"/>
      <c r="F17" s="6"/>
    </row>
    <row r="18" spans="1:6" x14ac:dyDescent="0.3">
      <c r="A18" s="6"/>
      <c r="B18" s="6"/>
      <c r="C18" s="6"/>
      <c r="D18" s="6"/>
      <c r="E18" s="6"/>
      <c r="F18" s="6"/>
    </row>
    <row r="19" spans="1:6" x14ac:dyDescent="0.3">
      <c r="A19" s="6"/>
      <c r="B19" s="6"/>
      <c r="C19" s="6"/>
      <c r="D19" s="6"/>
      <c r="E19" s="6"/>
      <c r="F19" s="6"/>
    </row>
    <row r="20" spans="1:6" x14ac:dyDescent="0.3">
      <c r="A20" s="6"/>
      <c r="B20" s="6"/>
      <c r="C20" s="6"/>
      <c r="D20" s="6"/>
      <c r="E20" s="6"/>
      <c r="F20" s="6"/>
    </row>
    <row r="21" spans="1:6" x14ac:dyDescent="0.3">
      <c r="A21" s="6"/>
      <c r="B21" s="6"/>
      <c r="C21" s="6"/>
      <c r="D21" s="6"/>
      <c r="E21" s="6"/>
      <c r="F21" s="6"/>
    </row>
  </sheetData>
  <mergeCells count="5">
    <mergeCell ref="D2:E2"/>
    <mergeCell ref="A2:A3"/>
    <mergeCell ref="B2:B3"/>
    <mergeCell ref="C2:C3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F8BD-2410-451F-9F57-654D38C46804}">
  <dimension ref="A1:F27"/>
  <sheetViews>
    <sheetView workbookViewId="0">
      <selection activeCell="F8" sqref="F8"/>
    </sheetView>
  </sheetViews>
  <sheetFormatPr defaultRowHeight="14.4" x14ac:dyDescent="0.3"/>
  <cols>
    <col min="2" max="3" width="15.5546875" customWidth="1"/>
    <col min="4" max="4" width="22.77734375" customWidth="1"/>
    <col min="5" max="5" width="22.21875" customWidth="1"/>
    <col min="6" max="6" width="31.109375" customWidth="1"/>
  </cols>
  <sheetData>
    <row r="1" spans="1:2" ht="23.4" x14ac:dyDescent="0.3">
      <c r="B1" s="7" t="s">
        <v>71</v>
      </c>
    </row>
    <row r="3" spans="1:2" x14ac:dyDescent="0.3">
      <c r="B3" s="3" t="s">
        <v>57</v>
      </c>
    </row>
    <row r="4" spans="1:2" x14ac:dyDescent="0.3">
      <c r="B4" s="2"/>
    </row>
    <row r="5" spans="1:2" x14ac:dyDescent="0.3">
      <c r="A5">
        <v>1</v>
      </c>
      <c r="B5" s="2" t="s">
        <v>58</v>
      </c>
    </row>
    <row r="6" spans="1:2" x14ac:dyDescent="0.3">
      <c r="B6" s="2"/>
    </row>
    <row r="7" spans="1:2" x14ac:dyDescent="0.3">
      <c r="A7">
        <v>2</v>
      </c>
      <c r="B7" s="2" t="s">
        <v>59</v>
      </c>
    </row>
    <row r="8" spans="1:2" x14ac:dyDescent="0.3">
      <c r="B8" s="2"/>
    </row>
    <row r="9" spans="1:2" x14ac:dyDescent="0.3">
      <c r="A9">
        <v>3</v>
      </c>
      <c r="B9" s="2" t="s">
        <v>60</v>
      </c>
    </row>
    <row r="10" spans="1:2" x14ac:dyDescent="0.3">
      <c r="B10" s="2"/>
    </row>
    <row r="11" spans="1:2" x14ac:dyDescent="0.3">
      <c r="A11">
        <v>4</v>
      </c>
      <c r="B11" s="2" t="s">
        <v>61</v>
      </c>
    </row>
    <row r="12" spans="1:2" x14ac:dyDescent="0.3">
      <c r="B12" s="2"/>
    </row>
    <row r="13" spans="1:2" x14ac:dyDescent="0.3">
      <c r="A13">
        <v>5</v>
      </c>
      <c r="B13" s="2" t="s">
        <v>62</v>
      </c>
    </row>
    <row r="14" spans="1:2" x14ac:dyDescent="0.3">
      <c r="B14" s="2"/>
    </row>
    <row r="15" spans="1:2" x14ac:dyDescent="0.3">
      <c r="A15">
        <v>6</v>
      </c>
      <c r="B15" s="2" t="s">
        <v>63</v>
      </c>
    </row>
    <row r="16" spans="1:2" x14ac:dyDescent="0.3">
      <c r="B16" s="2"/>
    </row>
    <row r="17" spans="1:6" x14ac:dyDescent="0.3">
      <c r="A17">
        <v>7</v>
      </c>
      <c r="B17" s="2" t="s">
        <v>64</v>
      </c>
    </row>
    <row r="18" spans="1:6" x14ac:dyDescent="0.3">
      <c r="B18" s="2"/>
    </row>
    <row r="19" spans="1:6" x14ac:dyDescent="0.3">
      <c r="A19">
        <v>8</v>
      </c>
      <c r="B19" s="2" t="s">
        <v>65</v>
      </c>
    </row>
    <row r="21" spans="1:6" x14ac:dyDescent="0.3">
      <c r="A21" t="s">
        <v>73</v>
      </c>
      <c r="B21" s="3" t="s">
        <v>72</v>
      </c>
    </row>
    <row r="22" spans="1:6" x14ac:dyDescent="0.3">
      <c r="B22" s="2"/>
    </row>
    <row r="23" spans="1:6" x14ac:dyDescent="0.3">
      <c r="B23" s="6" t="s">
        <v>0</v>
      </c>
      <c r="C23" s="8" t="s">
        <v>69</v>
      </c>
      <c r="D23" s="6" t="s">
        <v>66</v>
      </c>
      <c r="E23" s="6" t="s">
        <v>67</v>
      </c>
      <c r="F23" s="6" t="s">
        <v>68</v>
      </c>
    </row>
    <row r="24" spans="1:6" x14ac:dyDescent="0.3">
      <c r="B24" s="8">
        <v>1</v>
      </c>
      <c r="C24" s="6"/>
      <c r="D24" s="6"/>
      <c r="E24" s="6"/>
      <c r="F24" s="6"/>
    </row>
    <row r="25" spans="1:6" x14ac:dyDescent="0.3">
      <c r="B25" s="8">
        <v>2</v>
      </c>
      <c r="C25" s="6"/>
      <c r="D25" s="6"/>
      <c r="E25" s="6"/>
      <c r="F25" s="6"/>
    </row>
    <row r="26" spans="1:6" x14ac:dyDescent="0.3">
      <c r="B26" s="8">
        <v>3</v>
      </c>
      <c r="C26" s="6"/>
      <c r="D26" s="6"/>
      <c r="E26" s="6"/>
      <c r="F26" s="6"/>
    </row>
    <row r="27" spans="1:6" x14ac:dyDescent="0.3">
      <c r="B27" s="8">
        <v>4</v>
      </c>
      <c r="C27" s="6"/>
      <c r="D27" s="6"/>
      <c r="E27" s="6"/>
      <c r="F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Head of Equipment</vt:lpstr>
      <vt:lpstr>Rekap Bulanan</vt:lpstr>
      <vt:lpstr>lampiran laporan</vt:lpstr>
      <vt:lpstr>summary jo dan order parts meka</vt:lpstr>
      <vt:lpstr>excutive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M-SI</cp:lastModifiedBy>
  <dcterms:created xsi:type="dcterms:W3CDTF">2026-01-28T01:01:44Z</dcterms:created>
  <dcterms:modified xsi:type="dcterms:W3CDTF">2026-01-28T09:21:12Z</dcterms:modified>
</cp:coreProperties>
</file>