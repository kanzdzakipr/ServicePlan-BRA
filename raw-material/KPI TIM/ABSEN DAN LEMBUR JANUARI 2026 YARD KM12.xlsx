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YARD DURI\05. HR DAN UMUM\HR\SPL\2026\januari 2026\"/>
    </mc:Choice>
  </mc:AlternateContent>
  <xr:revisionPtr revIDLastSave="0" documentId="13_ncr:1_{12544C6C-B24A-4FF5-B83B-C3DFD2E6989D}" xr6:coauthVersionLast="47" xr6:coauthVersionMax="47" xr10:uidLastSave="{00000000-0000-0000-0000-000000000000}"/>
  <bookViews>
    <workbookView xWindow="-120" yWindow="-120" windowWidth="20730" windowHeight="11160" firstSheet="2" activeTab="3" xr2:uid="{A59FFE61-496B-4901-9A8D-CADEA2783313}"/>
  </bookViews>
  <sheets>
    <sheet name="Sheet1" sheetId="10" state="hidden" r:id="rId1"/>
    <sheet name="Lap. Log Absen" sheetId="11" state="hidden" r:id="rId2"/>
    <sheet name="Sheet2" sheetId="20" r:id="rId3"/>
    <sheet name="YARD" sheetId="3" r:id="rId4"/>
    <sheet name="LAPANGAN" sheetId="18" r:id="rId5"/>
  </sheets>
  <definedNames>
    <definedName name="_xlnm._FilterDatabase" localSheetId="4" hidden="1">LAPANGAN!$B$12:$BD$32</definedName>
    <definedName name="_xlnm._FilterDatabase" localSheetId="3" hidden="1">YARD!$B$12:$BE$100</definedName>
    <definedName name="_xlnm.Print_Area" localSheetId="4">LAPANGAN!$B$1:$BE$46</definedName>
    <definedName name="_xlnm.Print_Area" localSheetId="0">Sheet1!$A$7:$J$35</definedName>
    <definedName name="_xlnm.Print_Area" localSheetId="3">YARD!$B$1:$BE$114</definedName>
    <definedName name="_xlnm.Print_Titles" localSheetId="4">LAPANGAN!$9:$11</definedName>
    <definedName name="_xlnm.Print_Titles" localSheetId="3">YARD!$9:$11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60" i="3" l="1"/>
  <c r="AK16" i="18"/>
  <c r="U16" i="18"/>
  <c r="R16" i="18"/>
  <c r="Q16" i="18"/>
  <c r="AH16" i="18"/>
  <c r="AI16" i="18"/>
  <c r="AU100" i="3"/>
  <c r="AU24" i="18"/>
  <c r="AU28" i="18"/>
  <c r="AU56" i="3"/>
  <c r="AT24" i="18"/>
  <c r="AT32" i="3"/>
  <c r="AT56" i="3"/>
  <c r="AT60" i="3"/>
  <c r="AT36" i="3"/>
  <c r="AT40" i="3"/>
  <c r="AS40" i="3"/>
  <c r="AR20" i="18"/>
  <c r="AR24" i="18"/>
  <c r="AR28" i="18"/>
  <c r="AR100" i="3"/>
  <c r="AR60" i="3"/>
  <c r="AR36" i="3"/>
  <c r="AR44" i="3"/>
  <c r="AR40" i="3"/>
  <c r="AP60" i="3"/>
  <c r="AO56" i="3"/>
  <c r="AO32" i="3"/>
  <c r="AO44" i="3"/>
  <c r="AO40" i="3"/>
  <c r="AN56" i="3"/>
  <c r="AN52" i="3"/>
  <c r="AN48" i="3"/>
  <c r="AN36" i="3"/>
  <c r="AN44" i="3"/>
  <c r="AN40" i="3"/>
  <c r="AM24" i="18"/>
  <c r="AM28" i="18"/>
  <c r="AM16" i="18"/>
  <c r="AM32" i="3"/>
  <c r="AM60" i="3"/>
  <c r="AM36" i="3"/>
  <c r="AM40" i="3"/>
  <c r="AL40" i="3"/>
  <c r="AK28" i="18"/>
  <c r="AK24" i="18"/>
  <c r="AK20" i="18"/>
  <c r="AK60" i="3"/>
  <c r="AK44" i="3"/>
  <c r="AK40" i="3"/>
  <c r="AK32" i="3"/>
  <c r="AK56" i="3"/>
  <c r="AI20" i="18"/>
  <c r="AI40" i="3"/>
  <c r="AI32" i="3"/>
  <c r="AI60" i="3"/>
  <c r="AI56" i="3"/>
  <c r="AI28" i="18"/>
  <c r="AH44" i="3"/>
  <c r="AH40" i="3"/>
  <c r="AH32" i="3"/>
  <c r="AH60" i="3"/>
  <c r="AH56" i="3"/>
  <c r="AH20" i="18"/>
  <c r="AG40" i="3"/>
  <c r="AG32" i="3"/>
  <c r="AG28" i="3"/>
  <c r="AF40" i="3"/>
  <c r="AC60" i="3"/>
  <c r="AC40" i="3"/>
  <c r="AC36" i="3"/>
  <c r="AC32" i="3"/>
  <c r="AC20" i="18"/>
  <c r="AA44" i="3"/>
  <c r="AA40" i="3" l="1"/>
  <c r="Z28" i="18"/>
  <c r="Z56" i="3"/>
  <c r="Z28" i="3"/>
  <c r="Z36" i="3"/>
  <c r="Z40" i="3"/>
  <c r="Y24" i="18"/>
  <c r="Y16" i="18"/>
  <c r="Y92" i="3"/>
  <c r="Y60" i="3"/>
  <c r="Y56" i="3"/>
  <c r="Y40" i="3"/>
  <c r="Y36" i="3"/>
  <c r="Y28" i="3"/>
  <c r="W20" i="3"/>
  <c r="W28" i="18"/>
  <c r="W24" i="18"/>
  <c r="W20" i="18"/>
  <c r="W16" i="18"/>
  <c r="W60" i="3"/>
  <c r="W56" i="3"/>
  <c r="W36" i="3"/>
  <c r="W28" i="3"/>
  <c r="W24" i="3"/>
  <c r="V24" i="3"/>
  <c r="V16" i="18"/>
  <c r="V28" i="18"/>
  <c r="V24" i="18"/>
  <c r="U60" i="3"/>
  <c r="U40" i="3"/>
  <c r="U32" i="3"/>
  <c r="T16" i="18"/>
  <c r="S32" i="3"/>
  <c r="R40" i="3"/>
  <c r="R24" i="3"/>
  <c r="R20" i="18"/>
  <c r="Q32" i="3"/>
  <c r="Q36" i="3"/>
  <c r="BE49" i="3"/>
  <c r="BD49" i="3"/>
  <c r="BC49" i="3"/>
  <c r="BB49" i="3"/>
  <c r="BA49" i="3"/>
  <c r="AZ49" i="3"/>
  <c r="AY49" i="3"/>
  <c r="AX49" i="3"/>
  <c r="AW49" i="3"/>
  <c r="BE29" i="3" l="1"/>
  <c r="BE53" i="3"/>
  <c r="BD53" i="3"/>
  <c r="BC53" i="3"/>
  <c r="BB53" i="3"/>
  <c r="BA53" i="3"/>
  <c r="AZ53" i="3"/>
  <c r="AY53" i="3"/>
  <c r="AX53" i="3"/>
  <c r="AW53" i="3"/>
  <c r="BC57" i="3"/>
  <c r="BD57" i="3"/>
  <c r="BE57" i="3"/>
  <c r="BE29" i="18"/>
  <c r="BD29" i="18"/>
  <c r="BC29" i="18"/>
  <c r="BB29" i="18"/>
  <c r="BA29" i="18"/>
  <c r="AZ29" i="18"/>
  <c r="AY29" i="18"/>
  <c r="AX29" i="18"/>
  <c r="AW29" i="18"/>
  <c r="BE25" i="18"/>
  <c r="BD25" i="18"/>
  <c r="BC25" i="18"/>
  <c r="BB25" i="18"/>
  <c r="BA25" i="18"/>
  <c r="AZ25" i="18"/>
  <c r="AY25" i="18"/>
  <c r="AX25" i="18"/>
  <c r="AW25" i="18"/>
  <c r="BE21" i="18"/>
  <c r="BD21" i="18"/>
  <c r="BC21" i="18"/>
  <c r="BB21" i="18"/>
  <c r="BA21" i="18"/>
  <c r="AZ21" i="18"/>
  <c r="AY21" i="18"/>
  <c r="AX21" i="18"/>
  <c r="AW21" i="18"/>
  <c r="BE17" i="18"/>
  <c r="BD17" i="18"/>
  <c r="BC17" i="18"/>
  <c r="BB17" i="18"/>
  <c r="BA17" i="18"/>
  <c r="AZ17" i="18"/>
  <c r="AY17" i="18"/>
  <c r="AX17" i="18"/>
  <c r="AW17" i="18"/>
  <c r="BE13" i="18"/>
  <c r="BD13" i="18"/>
  <c r="BC13" i="18"/>
  <c r="BB13" i="18"/>
  <c r="BA13" i="18"/>
  <c r="AZ13" i="18"/>
  <c r="AY13" i="18"/>
  <c r="AX13" i="18"/>
  <c r="AW13" i="18"/>
  <c r="B17" i="18"/>
  <c r="B21" i="18" s="1"/>
  <c r="B25" i="18" s="1"/>
  <c r="B29" i="18" s="1"/>
  <c r="BD29" i="3"/>
  <c r="BC29" i="3"/>
  <c r="BB29" i="3"/>
  <c r="BA29" i="3"/>
  <c r="AZ29" i="3"/>
  <c r="AY29" i="3"/>
  <c r="AX29" i="3"/>
  <c r="AW29" i="3"/>
  <c r="AZ57" i="3" l="1"/>
  <c r="BB57" i="3"/>
  <c r="AW57" i="3"/>
  <c r="AX57" i="3"/>
  <c r="AY57" i="3"/>
  <c r="BA57" i="3"/>
  <c r="BE45" i="3"/>
  <c r="BD45" i="3"/>
  <c r="BC45" i="3"/>
  <c r="BB45" i="3"/>
  <c r="BA45" i="3"/>
  <c r="AZ45" i="3"/>
  <c r="AY45" i="3"/>
  <c r="AX45" i="3"/>
  <c r="AW45" i="3"/>
  <c r="BE21" i="3"/>
  <c r="BD21" i="3"/>
  <c r="BC21" i="3"/>
  <c r="BB21" i="3"/>
  <c r="BA21" i="3"/>
  <c r="AZ21" i="3"/>
  <c r="AY21" i="3"/>
  <c r="AX21" i="3"/>
  <c r="AW21" i="3"/>
  <c r="BE25" i="3"/>
  <c r="BD25" i="3"/>
  <c r="BC25" i="3"/>
  <c r="BB25" i="3"/>
  <c r="BA25" i="3"/>
  <c r="AZ25" i="3"/>
  <c r="AY25" i="3"/>
  <c r="AX25" i="3"/>
  <c r="AW25" i="3"/>
  <c r="BE17" i="3"/>
  <c r="BD17" i="3"/>
  <c r="BC17" i="3"/>
  <c r="BB17" i="3"/>
  <c r="BA17" i="3"/>
  <c r="AZ17" i="3"/>
  <c r="AY17" i="3"/>
  <c r="AX17" i="3"/>
  <c r="AW17" i="3"/>
  <c r="B17" i="3"/>
  <c r="B21" i="3" s="1"/>
  <c r="B25" i="3" s="1"/>
  <c r="B29" i="3" s="1"/>
  <c r="B33" i="3" s="1"/>
  <c r="B37" i="3" s="1"/>
  <c r="B41" i="3" s="1"/>
  <c r="B45" i="3" s="1"/>
  <c r="BE97" i="3"/>
  <c r="BD97" i="3"/>
  <c r="BC97" i="3"/>
  <c r="BB97" i="3"/>
  <c r="BA97" i="3"/>
  <c r="AZ97" i="3"/>
  <c r="AY97" i="3"/>
  <c r="AX97" i="3"/>
  <c r="AW97" i="3"/>
  <c r="BE93" i="3"/>
  <c r="BD93" i="3"/>
  <c r="BC93" i="3"/>
  <c r="BB93" i="3"/>
  <c r="BA93" i="3"/>
  <c r="AZ93" i="3"/>
  <c r="AY93" i="3"/>
  <c r="AX93" i="3"/>
  <c r="AW93" i="3"/>
  <c r="B53" i="3" l="1"/>
  <c r="B57" i="3" s="1"/>
  <c r="B61" i="3" s="1"/>
  <c r="B65" i="3" s="1"/>
  <c r="B69" i="3" s="1"/>
  <c r="B73" i="3" s="1"/>
  <c r="B77" i="3" s="1"/>
  <c r="B81" i="3" s="1"/>
  <c r="B85" i="3" s="1"/>
  <c r="B89" i="3" s="1"/>
  <c r="B93" i="3" s="1"/>
  <c r="B97" i="3" s="1"/>
  <c r="B49" i="3"/>
  <c r="BE89" i="3"/>
  <c r="BD89" i="3"/>
  <c r="BC89" i="3"/>
  <c r="BB89" i="3"/>
  <c r="BA89" i="3"/>
  <c r="AZ89" i="3"/>
  <c r="AY89" i="3"/>
  <c r="AX89" i="3"/>
  <c r="AW89" i="3"/>
  <c r="BE85" i="3" l="1"/>
  <c r="BD85" i="3"/>
  <c r="BC85" i="3"/>
  <c r="BB85" i="3"/>
  <c r="BA85" i="3"/>
  <c r="AZ85" i="3"/>
  <c r="AY85" i="3"/>
  <c r="AX85" i="3"/>
  <c r="AW85" i="3"/>
  <c r="BE81" i="3"/>
  <c r="BD81" i="3"/>
  <c r="BC81" i="3"/>
  <c r="BB81" i="3"/>
  <c r="BA81" i="3"/>
  <c r="AZ81" i="3"/>
  <c r="AY81" i="3"/>
  <c r="AX81" i="3"/>
  <c r="AW81" i="3"/>
  <c r="BE77" i="3"/>
  <c r="BD77" i="3"/>
  <c r="BC77" i="3"/>
  <c r="BB77" i="3"/>
  <c r="BA77" i="3"/>
  <c r="AZ77" i="3"/>
  <c r="AY77" i="3"/>
  <c r="AX77" i="3"/>
  <c r="AW77" i="3"/>
  <c r="BE73" i="3"/>
  <c r="BD73" i="3"/>
  <c r="BC73" i="3"/>
  <c r="BB73" i="3"/>
  <c r="BA73" i="3"/>
  <c r="AZ73" i="3"/>
  <c r="AY73" i="3"/>
  <c r="AX73" i="3"/>
  <c r="AW73" i="3"/>
  <c r="BE69" i="3"/>
  <c r="BD69" i="3"/>
  <c r="BC69" i="3"/>
  <c r="BB69" i="3"/>
  <c r="BA69" i="3"/>
  <c r="AZ69" i="3"/>
  <c r="AY69" i="3"/>
  <c r="AX69" i="3"/>
  <c r="AW69" i="3"/>
  <c r="BE65" i="3"/>
  <c r="BD65" i="3"/>
  <c r="BC65" i="3"/>
  <c r="BB65" i="3"/>
  <c r="BA65" i="3"/>
  <c r="AZ65" i="3"/>
  <c r="AY65" i="3"/>
  <c r="AX65" i="3"/>
  <c r="AW65" i="3"/>
  <c r="BE61" i="3"/>
  <c r="BD61" i="3"/>
  <c r="BC61" i="3"/>
  <c r="BB61" i="3"/>
  <c r="BA61" i="3"/>
  <c r="AZ61" i="3"/>
  <c r="AY61" i="3"/>
  <c r="AX61" i="3"/>
  <c r="AW61" i="3"/>
  <c r="BE33" i="3"/>
  <c r="BD33" i="3"/>
  <c r="BC33" i="3"/>
  <c r="BB33" i="3"/>
  <c r="BA33" i="3"/>
  <c r="AZ33" i="3"/>
  <c r="AY33" i="3"/>
  <c r="AX33" i="3"/>
  <c r="AW33" i="3"/>
  <c r="BE41" i="3"/>
  <c r="BD41" i="3"/>
  <c r="BC41" i="3"/>
  <c r="BB41" i="3"/>
  <c r="BA41" i="3"/>
  <c r="AZ41" i="3"/>
  <c r="AY41" i="3"/>
  <c r="AX41" i="3"/>
  <c r="AW41" i="3"/>
  <c r="BE13" i="3"/>
  <c r="BD13" i="3"/>
  <c r="BC13" i="3"/>
  <c r="BB13" i="3"/>
  <c r="BA13" i="3"/>
  <c r="AZ13" i="3"/>
  <c r="AY13" i="3"/>
  <c r="AX13" i="3"/>
  <c r="AW13" i="3"/>
  <c r="BE37" i="3"/>
  <c r="BD37" i="3" l="1"/>
  <c r="BC37" i="3"/>
  <c r="BB37" i="3"/>
  <c r="BA37" i="3"/>
  <c r="AZ37" i="3"/>
  <c r="AY37" i="3"/>
  <c r="AX37" i="3"/>
  <c r="AW37" i="3"/>
</calcChain>
</file>

<file path=xl/sharedStrings.xml><?xml version="1.0" encoding="utf-8"?>
<sst xmlns="http://schemas.openxmlformats.org/spreadsheetml/2006/main" count="4219" uniqueCount="1617">
  <si>
    <t>Head of Equipment</t>
  </si>
  <si>
    <t>Manager Asset</t>
  </si>
  <si>
    <t>WIDYA APRIANI</t>
  </si>
  <si>
    <t>Diperiksa oleh</t>
  </si>
  <si>
    <t>Diketahui oleh</t>
  </si>
  <si>
    <t>MARTONO</t>
  </si>
  <si>
    <t>AMIRUDIN</t>
  </si>
  <si>
    <t>KUSWANTO</t>
  </si>
  <si>
    <t>Teknisi Listrik</t>
  </si>
  <si>
    <t>HENDRIK</t>
  </si>
  <si>
    <t>SAMSUL BAHRI</t>
  </si>
  <si>
    <t>Welder</t>
  </si>
  <si>
    <t>SUWARDI</t>
  </si>
  <si>
    <t>Helper</t>
  </si>
  <si>
    <t>DANIEL SITEPU</t>
  </si>
  <si>
    <t>AFRIYANDI</t>
  </si>
  <si>
    <t>POSISI</t>
  </si>
  <si>
    <t>NAMA KARYAWAN</t>
  </si>
  <si>
    <t>NO</t>
  </si>
  <si>
    <t>DAVID ARITONANG</t>
  </si>
  <si>
    <t>DARMAWAN</t>
  </si>
  <si>
    <t>Mekanik</t>
  </si>
  <si>
    <t>Flag Man</t>
  </si>
  <si>
    <t>I</t>
  </si>
  <si>
    <t>KETERANGAN</t>
  </si>
  <si>
    <t xml:space="preserve">JUMLAH </t>
  </si>
  <si>
    <t>O</t>
  </si>
  <si>
    <t>MK</t>
  </si>
  <si>
    <t>KJ</t>
  </si>
  <si>
    <t>KL</t>
  </si>
  <si>
    <t>CT</t>
  </si>
  <si>
    <t>S</t>
  </si>
  <si>
    <t>PR</t>
  </si>
  <si>
    <t>KODE</t>
  </si>
  <si>
    <t>Kerja</t>
  </si>
  <si>
    <t>Kerja di hari libur</t>
  </si>
  <si>
    <t>Off / Libur</t>
  </si>
  <si>
    <t>Cuti</t>
  </si>
  <si>
    <t>Prorate / gaji tidak full</t>
  </si>
  <si>
    <t>Izin tidak dibayar / Izin Pribadi</t>
  </si>
  <si>
    <t>DEAN MARTIN</t>
  </si>
  <si>
    <t>Mangkir/Alpa/Tidak masuk tanpa keterangan</t>
  </si>
  <si>
    <t>Warehouse</t>
  </si>
  <si>
    <t>Petugas K3L</t>
  </si>
  <si>
    <t>Sabtu</t>
  </si>
  <si>
    <t>Minggu</t>
  </si>
  <si>
    <t>Senin</t>
  </si>
  <si>
    <t>Selasa</t>
  </si>
  <si>
    <t>Rabu</t>
  </si>
  <si>
    <t>Kamis</t>
  </si>
  <si>
    <t>Jum'at</t>
  </si>
  <si>
    <t>D E A N   M A R T I N</t>
  </si>
  <si>
    <t>D A N Y   A G U N G</t>
  </si>
  <si>
    <t xml:space="preserve">Dibuat oleh </t>
  </si>
  <si>
    <t>Project Control</t>
  </si>
  <si>
    <t>Sakit</t>
  </si>
  <si>
    <t>REKAPITULASI ABSEN YARD KM 12 KULIM</t>
  </si>
  <si>
    <t>Lap. Detail Absensi</t>
  </si>
  <si>
    <t>Waktu Absen</t>
  </si>
  <si>
    <t>2025-05-26 ~ 2025-06-10</t>
  </si>
  <si>
    <t>Tabulasi</t>
  </si>
  <si>
    <t>ID:</t>
  </si>
  <si>
    <t>0001</t>
  </si>
  <si>
    <t>Nama:</t>
  </si>
  <si>
    <t>Dany Agung</t>
  </si>
  <si>
    <t>Dept.:</t>
  </si>
  <si>
    <t>Head Equipment</t>
  </si>
  <si>
    <t>15:2422:54</t>
  </si>
  <si>
    <t>06:1822:33</t>
  </si>
  <si>
    <t>06:3220:29</t>
  </si>
  <si>
    <t>05:4220:18</t>
  </si>
  <si>
    <t>05:4222:14</t>
  </si>
  <si>
    <t>10:4622:24</t>
  </si>
  <si>
    <t>06:2521:32</t>
  </si>
  <si>
    <t>06:36</t>
  </si>
  <si>
    <t>05:5621:24</t>
  </si>
  <si>
    <t>0002</t>
  </si>
  <si>
    <t>Guswan Arizal</t>
  </si>
  <si>
    <t>KA Logistik</t>
  </si>
  <si>
    <t>07:4618:29</t>
  </si>
  <si>
    <t>07:5517:25</t>
  </si>
  <si>
    <t>07:49</t>
  </si>
  <si>
    <t>17:56</t>
  </si>
  <si>
    <t>07:27</t>
  </si>
  <si>
    <t>07:22</t>
  </si>
  <si>
    <t>07:5417:43</t>
  </si>
  <si>
    <t>0003</t>
  </si>
  <si>
    <t>Heryanto</t>
  </si>
  <si>
    <t>Cem Manager</t>
  </si>
  <si>
    <t>0004</t>
  </si>
  <si>
    <t>Gigin Ahmad</t>
  </si>
  <si>
    <t>Cem Inspector</t>
  </si>
  <si>
    <t>08:3521:34</t>
  </si>
  <si>
    <t>06:3820:40</t>
  </si>
  <si>
    <t>07:0419:36</t>
  </si>
  <si>
    <t>07:1618:43</t>
  </si>
  <si>
    <t>17:51</t>
  </si>
  <si>
    <t>0005</t>
  </si>
  <si>
    <t>Samsul Bahri</t>
  </si>
  <si>
    <t>14:4814:4817:1117:1219:4019:41</t>
  </si>
  <si>
    <t>07:2018:1619:23</t>
  </si>
  <si>
    <t>07:2207:2307:2319:05</t>
  </si>
  <si>
    <t>07:2017:00</t>
  </si>
  <si>
    <t>07:5813:5613:56</t>
  </si>
  <si>
    <t>07:1917:39</t>
  </si>
  <si>
    <t>08:5018:20</t>
  </si>
  <si>
    <t>07:2717:0519:25</t>
  </si>
  <si>
    <t>07:2407:2419:19</t>
  </si>
  <si>
    <t>10:2813:53</t>
  </si>
  <si>
    <t>07:2117:51</t>
  </si>
  <si>
    <t>07:20</t>
  </si>
  <si>
    <t>0006</t>
  </si>
  <si>
    <t>Dean Martin</t>
  </si>
  <si>
    <t>Equipment SPV</t>
  </si>
  <si>
    <t>07:53</t>
  </si>
  <si>
    <t>00:2007:2521:43</t>
  </si>
  <si>
    <t>08:5721:32</t>
  </si>
  <si>
    <t>08:3322:00</t>
  </si>
  <si>
    <t>08:0019:30</t>
  </si>
  <si>
    <t>13:0121:57</t>
  </si>
  <si>
    <t>07:2920:07</t>
  </si>
  <si>
    <t>07:2920:28</t>
  </si>
  <si>
    <t>07:3623:08</t>
  </si>
  <si>
    <t>07:3918:59</t>
  </si>
  <si>
    <t>08:3814:35</t>
  </si>
  <si>
    <t>09:5721:53</t>
  </si>
  <si>
    <t>07:3221:40</t>
  </si>
  <si>
    <t>0007</t>
  </si>
  <si>
    <t>Afriyandi</t>
  </si>
  <si>
    <t>17:1117:1417:1517:15</t>
  </si>
  <si>
    <t>07:2017:0518:11</t>
  </si>
  <si>
    <t>06:4618:0418:0418:04</t>
  </si>
  <si>
    <t>07:0317:03</t>
  </si>
  <si>
    <t>07:2107:2114:21</t>
  </si>
  <si>
    <t>07:1907:2007:2007:2117:49</t>
  </si>
  <si>
    <t>07:2717:10</t>
  </si>
  <si>
    <t>07:3717:22</t>
  </si>
  <si>
    <t>07:3117:37</t>
  </si>
  <si>
    <t>10:28</t>
  </si>
  <si>
    <t>07:5017:41</t>
  </si>
  <si>
    <t>07:1317:48</t>
  </si>
  <si>
    <t>07:31</t>
  </si>
  <si>
    <t>0008</t>
  </si>
  <si>
    <t xml:space="preserve">Indra </t>
  </si>
  <si>
    <t>17:10</t>
  </si>
  <si>
    <t>07:3117:17</t>
  </si>
  <si>
    <t>07:3516:05</t>
  </si>
  <si>
    <t>07:4817:01</t>
  </si>
  <si>
    <t>07:5917:07</t>
  </si>
  <si>
    <t>07:40</t>
  </si>
  <si>
    <t>07:4617:14</t>
  </si>
  <si>
    <t>0009</t>
  </si>
  <si>
    <t>Daniel Sitepu</t>
  </si>
  <si>
    <t>Mekanik 2</t>
  </si>
  <si>
    <t>17:12</t>
  </si>
  <si>
    <t>07:5317:0217:02</t>
  </si>
  <si>
    <t>07:3807:3818:0418:04</t>
  </si>
  <si>
    <t>07:3907:3918:2918:3018:30</t>
  </si>
  <si>
    <t>08:0908:0914:27</t>
  </si>
  <si>
    <t>07:3007:3016:1316:13</t>
  </si>
  <si>
    <t>07:3907:3917:1017:10</t>
  </si>
  <si>
    <t>07:4307:4317:2617:3417:34</t>
  </si>
  <si>
    <t>07:3307:3316:2716:27</t>
  </si>
  <si>
    <t>07:3607:3617:4217:42</t>
  </si>
  <si>
    <t>07:2607:2617:3017:30</t>
  </si>
  <si>
    <t>0010</t>
  </si>
  <si>
    <t>Febri Angga</t>
  </si>
  <si>
    <t>17:1417:1417:1417:1517:15</t>
  </si>
  <si>
    <t>07:2007:2017:0217:02</t>
  </si>
  <si>
    <t>06:4618:0318:0318:0418:04</t>
  </si>
  <si>
    <t>07:1707:1718:29</t>
  </si>
  <si>
    <t>08:2014:2214:2214:27</t>
  </si>
  <si>
    <t>07:1616:13</t>
  </si>
  <si>
    <t>07:4017:09</t>
  </si>
  <si>
    <t>07:2207:2217:26</t>
  </si>
  <si>
    <t>07:2216:27</t>
  </si>
  <si>
    <t>07:2817:4117:4117:41</t>
  </si>
  <si>
    <t>07:1617:2917:31</t>
  </si>
  <si>
    <t>0011</t>
  </si>
  <si>
    <t>Suwardi</t>
  </si>
  <si>
    <t>19:0620:30</t>
  </si>
  <si>
    <t>07:3116:12</t>
  </si>
  <si>
    <t>07:3318:02</t>
  </si>
  <si>
    <t>07:5616:10</t>
  </si>
  <si>
    <t>07:3817:11</t>
  </si>
  <si>
    <t>07:3317:01</t>
  </si>
  <si>
    <t>07:4617:00</t>
  </si>
  <si>
    <t>07:4416:00</t>
  </si>
  <si>
    <t>07:3316:38</t>
  </si>
  <si>
    <t>07:3318:04</t>
  </si>
  <si>
    <t>07:3217:05</t>
  </si>
  <si>
    <t>07:3618:05</t>
  </si>
  <si>
    <t>0012</t>
  </si>
  <si>
    <t xml:space="preserve">Joni Septian </t>
  </si>
  <si>
    <t>Mekanik/ Greasing</t>
  </si>
  <si>
    <t>17:33</t>
  </si>
  <si>
    <t>07:2017:06</t>
  </si>
  <si>
    <t>07:3818:01</t>
  </si>
  <si>
    <t>08:2117:10</t>
  </si>
  <si>
    <t>07:2114:22</t>
  </si>
  <si>
    <t>07:1918:42</t>
  </si>
  <si>
    <t>07:2718:35</t>
  </si>
  <si>
    <t>07:3718:23</t>
  </si>
  <si>
    <t>07:30</t>
  </si>
  <si>
    <t>07:1517:2317:23</t>
  </si>
  <si>
    <t>0013</t>
  </si>
  <si>
    <t xml:space="preserve">Martono </t>
  </si>
  <si>
    <t>15:2918:08</t>
  </si>
  <si>
    <t>07:2418:03</t>
  </si>
  <si>
    <t>07:2618:06</t>
  </si>
  <si>
    <t>08:5716:11</t>
  </si>
  <si>
    <t>07:2717:21</t>
  </si>
  <si>
    <t>07:5617:07</t>
  </si>
  <si>
    <t>08:2317:17</t>
  </si>
  <si>
    <t>07:1117:37</t>
  </si>
  <si>
    <t>07:2317:40</t>
  </si>
  <si>
    <t>07:2218:03</t>
  </si>
  <si>
    <t>07:1717:31</t>
  </si>
  <si>
    <t>08:3908:4116:00</t>
  </si>
  <si>
    <t>09:57</t>
  </si>
  <si>
    <t>07:2918:02</t>
  </si>
  <si>
    <t>07:26</t>
  </si>
  <si>
    <t>0014</t>
  </si>
  <si>
    <t>Abdul Karim</t>
  </si>
  <si>
    <t xml:space="preserve">Welder  </t>
  </si>
  <si>
    <t>16:4217:06</t>
  </si>
  <si>
    <t>07:2916:11</t>
  </si>
  <si>
    <t>07:1916:21</t>
  </si>
  <si>
    <t>07:2717:02</t>
  </si>
  <si>
    <t>08:3412:00</t>
  </si>
  <si>
    <t>07:2716:04</t>
  </si>
  <si>
    <t>07:3416:4216:53</t>
  </si>
  <si>
    <t>0015</t>
  </si>
  <si>
    <t>Heri Suhedi</t>
  </si>
  <si>
    <t>07:5417:3117:31</t>
  </si>
  <si>
    <t>07:3807:3818:0518:05</t>
  </si>
  <si>
    <t>07:4107:4117:0817:08</t>
  </si>
  <si>
    <t>08:3408:3512:02</t>
  </si>
  <si>
    <t>07:3318:4218:42</t>
  </si>
  <si>
    <t>07:4207:4218:3618:36</t>
  </si>
  <si>
    <t>07:4518:2518:25</t>
  </si>
  <si>
    <t>07:5516:4516:45</t>
  </si>
  <si>
    <t>07:4017:3217:32</t>
  </si>
  <si>
    <t>0016</t>
  </si>
  <si>
    <t>Fadli</t>
  </si>
  <si>
    <t>Op Exca / Ass mekanik</t>
  </si>
  <si>
    <t>19:0720:28</t>
  </si>
  <si>
    <t>07:2418:01</t>
  </si>
  <si>
    <t>07:5716:01</t>
  </si>
  <si>
    <t>07:3217:06</t>
  </si>
  <si>
    <t>07:5217:00</t>
  </si>
  <si>
    <t>07:4216:12</t>
  </si>
  <si>
    <t>07:3316:42</t>
  </si>
  <si>
    <t>07:3818:04</t>
  </si>
  <si>
    <t>0017</t>
  </si>
  <si>
    <t xml:space="preserve">Hendrik </t>
  </si>
  <si>
    <t>16:3720:30</t>
  </si>
  <si>
    <t>07:3216:12</t>
  </si>
  <si>
    <t>07:2407:2518:03</t>
  </si>
  <si>
    <t>07:5616:0116:01</t>
  </si>
  <si>
    <t>07:3217:09</t>
  </si>
  <si>
    <t>07:3607:3617:04</t>
  </si>
  <si>
    <t>07:5717:01</t>
  </si>
  <si>
    <t>07:3316:1016:10</t>
  </si>
  <si>
    <t>07:3316:52</t>
  </si>
  <si>
    <t>07:4018:0418:04</t>
  </si>
  <si>
    <t>07:2817:0517:05</t>
  </si>
  <si>
    <t>07:2307:2307:2318:0518:0518:05</t>
  </si>
  <si>
    <t>0018</t>
  </si>
  <si>
    <t>Koeswanto</t>
  </si>
  <si>
    <t>SMK3L</t>
  </si>
  <si>
    <t>17:08</t>
  </si>
  <si>
    <t>07:2617:01</t>
  </si>
  <si>
    <t>07:1817:30</t>
  </si>
  <si>
    <t>10:3517:03</t>
  </si>
  <si>
    <t>07:3117:01</t>
  </si>
  <si>
    <t>07:4717:01</t>
  </si>
  <si>
    <t>07:1717:00</t>
  </si>
  <si>
    <t>07:2617:02</t>
  </si>
  <si>
    <t>07:1417:06</t>
  </si>
  <si>
    <t>07:3017:27</t>
  </si>
  <si>
    <t>07:4515:20</t>
  </si>
  <si>
    <t>07:2817:04</t>
  </si>
  <si>
    <t>07:15</t>
  </si>
  <si>
    <t>0019</t>
  </si>
  <si>
    <t>Amirudin</t>
  </si>
  <si>
    <t>08:1017:06</t>
  </si>
  <si>
    <t>10:3417:02</t>
  </si>
  <si>
    <t>08:0217:00</t>
  </si>
  <si>
    <t>07:3517:00</t>
  </si>
  <si>
    <t>07:3017:02</t>
  </si>
  <si>
    <t>07:2717:06</t>
  </si>
  <si>
    <t>07:2417:07</t>
  </si>
  <si>
    <t>07:4015:20</t>
  </si>
  <si>
    <t>07:3717:03</t>
  </si>
  <si>
    <t>0020</t>
  </si>
  <si>
    <t>Darmawan</t>
  </si>
  <si>
    <t>17:38</t>
  </si>
  <si>
    <t>07:1619:01</t>
  </si>
  <si>
    <t>07:3517:01</t>
  </si>
  <si>
    <t>08:1317:16</t>
  </si>
  <si>
    <t>07:4317:01</t>
  </si>
  <si>
    <t>07:3419:01</t>
  </si>
  <si>
    <t>07:4017:28</t>
  </si>
  <si>
    <t>07:3317:09</t>
  </si>
  <si>
    <t>07:3917:31</t>
  </si>
  <si>
    <t>13:38</t>
  </si>
  <si>
    <t>07:4117:17</t>
  </si>
  <si>
    <t>0021</t>
  </si>
  <si>
    <t xml:space="preserve">Akirullah </t>
  </si>
  <si>
    <t>16:17</t>
  </si>
  <si>
    <t>07:3218:18</t>
  </si>
  <si>
    <t>07:3616:03</t>
  </si>
  <si>
    <t>07:3417:00</t>
  </si>
  <si>
    <t>07:5414:26</t>
  </si>
  <si>
    <t>07:1816:12</t>
  </si>
  <si>
    <t>07:4916:49</t>
  </si>
  <si>
    <t>07:0117:12</t>
  </si>
  <si>
    <t>07:4016:20</t>
  </si>
  <si>
    <t>07:3317:12</t>
  </si>
  <si>
    <t>0022</t>
  </si>
  <si>
    <t>Azril M</t>
  </si>
  <si>
    <t>Mekanik A2B</t>
  </si>
  <si>
    <t>18:12</t>
  </si>
  <si>
    <t>07:21</t>
  </si>
  <si>
    <t>07:3517:26</t>
  </si>
  <si>
    <t>17:50</t>
  </si>
  <si>
    <t>0023</t>
  </si>
  <si>
    <t>Efendi Harahap</t>
  </si>
  <si>
    <t>07:3319:55</t>
  </si>
  <si>
    <t>07:0918:16</t>
  </si>
  <si>
    <t>07:0717:00</t>
  </si>
  <si>
    <t>07:1717:17</t>
  </si>
  <si>
    <t>07:2317:01</t>
  </si>
  <si>
    <t>06:5518:12</t>
  </si>
  <si>
    <t>07:4117:38</t>
  </si>
  <si>
    <t>0024</t>
  </si>
  <si>
    <t>David Aritonang</t>
  </si>
  <si>
    <t>Flagman</t>
  </si>
  <si>
    <t>16:5017:07</t>
  </si>
  <si>
    <t>07:2817:01</t>
  </si>
  <si>
    <t>07:3117:30</t>
  </si>
  <si>
    <t>07:3017:11</t>
  </si>
  <si>
    <t>07:2117:00</t>
  </si>
  <si>
    <t>07:0717:02</t>
  </si>
  <si>
    <t>07:3917:06</t>
  </si>
  <si>
    <t>07:4717:06</t>
  </si>
  <si>
    <t>07:4815:19</t>
  </si>
  <si>
    <t>07:3317:02</t>
  </si>
  <si>
    <t>0025</t>
  </si>
  <si>
    <t>Fajar</t>
  </si>
  <si>
    <t>Ass admin</t>
  </si>
  <si>
    <t>15:2117:17</t>
  </si>
  <si>
    <t>07:24</t>
  </si>
  <si>
    <t>07:3117:18</t>
  </si>
  <si>
    <t>07:2917:06</t>
  </si>
  <si>
    <t>07:4814:04</t>
  </si>
  <si>
    <t>07:2716:42</t>
  </si>
  <si>
    <t>07:3216:50</t>
  </si>
  <si>
    <t>07:3217:16</t>
  </si>
  <si>
    <t>07:4016:44</t>
  </si>
  <si>
    <t>07:3917:02</t>
  </si>
  <si>
    <t>0026</t>
  </si>
  <si>
    <t>Alfiqir</t>
  </si>
  <si>
    <t>09:0309:0316:52</t>
  </si>
  <si>
    <t>08:4718:11</t>
  </si>
  <si>
    <t>0027</t>
  </si>
  <si>
    <t xml:space="preserve">Jorlan </t>
  </si>
  <si>
    <t>Security</t>
  </si>
  <si>
    <t>18:53</t>
  </si>
  <si>
    <t>07:5318:5518:56</t>
  </si>
  <si>
    <t>07:0607:0618:40</t>
  </si>
  <si>
    <t>07:2318:54</t>
  </si>
  <si>
    <t>07:0418:57</t>
  </si>
  <si>
    <t>07:0907:1718:57</t>
  </si>
  <si>
    <t>07:0618:57</t>
  </si>
  <si>
    <t>07:06</t>
  </si>
  <si>
    <t>06:5019:08</t>
  </si>
  <si>
    <t>0028</t>
  </si>
  <si>
    <t>Sudirman H</t>
  </si>
  <si>
    <t>16:2219:02</t>
  </si>
  <si>
    <t>07:2819:01</t>
  </si>
  <si>
    <t>06:5919:00</t>
  </si>
  <si>
    <t>07:0419:02</t>
  </si>
  <si>
    <t>07:0419:00</t>
  </si>
  <si>
    <t>07:0518:59</t>
  </si>
  <si>
    <t>07:0118:5218:52</t>
  </si>
  <si>
    <t>19:02</t>
  </si>
  <si>
    <t>07:0518:49</t>
  </si>
  <si>
    <t>07:0419:04</t>
  </si>
  <si>
    <t>07:0519:00</t>
  </si>
  <si>
    <t>07:1207:1207:1218:5718:5718:57</t>
  </si>
  <si>
    <t>07:0507:0507:0519:0219:02</t>
  </si>
  <si>
    <t>07:0307:0318:5818:5818:58</t>
  </si>
  <si>
    <t>07:0507:05</t>
  </si>
  <si>
    <t>0029</t>
  </si>
  <si>
    <t>Edy Jaka S</t>
  </si>
  <si>
    <t>07:2119:05</t>
  </si>
  <si>
    <t>07:0207:0207:0219:0419:0419:04</t>
  </si>
  <si>
    <t>07:0007:0007:0119:0419:0419:04</t>
  </si>
  <si>
    <t>06:5006:5006:5019:0219:0219:02</t>
  </si>
  <si>
    <t>06:5006:5006:5019:1019:1019:10</t>
  </si>
  <si>
    <t>06:5906:5906:5919:0419:0419:04</t>
  </si>
  <si>
    <t>19:0219:0219:02</t>
  </si>
  <si>
    <t>0030</t>
  </si>
  <si>
    <t>Taufiq H</t>
  </si>
  <si>
    <t>19:00</t>
  </si>
  <si>
    <t>09:2618:5918:59</t>
  </si>
  <si>
    <t>07:0907:0918:5618:56</t>
  </si>
  <si>
    <t>07:0607:0618:5918:59</t>
  </si>
  <si>
    <t>07:0507:0518:5918:59</t>
  </si>
  <si>
    <t>07:0107:0118:5518:55</t>
  </si>
  <si>
    <t>07:0207:0318:5218:52</t>
  </si>
  <si>
    <t>07:0307:0318:5518:55</t>
  </si>
  <si>
    <t>07:0507:0519:0019:00</t>
  </si>
  <si>
    <t>07:0307:0318:5818:58</t>
  </si>
  <si>
    <t>07:0407:0407:0418:5618:56</t>
  </si>
  <si>
    <t>09:0309:0318:5118:51</t>
  </si>
  <si>
    <t>07:0407:0418:5518:55</t>
  </si>
  <si>
    <t>07:0307:0318:5318:53</t>
  </si>
  <si>
    <t>07:0407:0419:0019:00</t>
  </si>
  <si>
    <t>0031</t>
  </si>
  <si>
    <t>Adi Sarnata</t>
  </si>
  <si>
    <t>08:1319:02</t>
  </si>
  <si>
    <t>08:2516:03</t>
  </si>
  <si>
    <t>08:1417:08</t>
  </si>
  <si>
    <t>08:2417:21</t>
  </si>
  <si>
    <t>07:5518:00</t>
  </si>
  <si>
    <t>08:0019:00</t>
  </si>
  <si>
    <t>08:0716:33</t>
  </si>
  <si>
    <t>07:5817:05</t>
  </si>
  <si>
    <t>08:0016:05</t>
  </si>
  <si>
    <t>17:00</t>
  </si>
  <si>
    <t>16:42</t>
  </si>
  <si>
    <t>Al Fiqri</t>
  </si>
  <si>
    <t>Jumat</t>
  </si>
  <si>
    <t>2025-05-26 ~ 2025-06-20</t>
  </si>
  <si>
    <t>2025-06-20</t>
  </si>
  <si>
    <t>06:1522:04</t>
  </si>
  <si>
    <t>06:0821:05</t>
  </si>
  <si>
    <t>05:4022:02</t>
  </si>
  <si>
    <t>06:3022:18</t>
  </si>
  <si>
    <t>06:2219:19</t>
  </si>
  <si>
    <t>05:4418:27</t>
  </si>
  <si>
    <t>06:3321:07</t>
  </si>
  <si>
    <t>05:4321:22</t>
  </si>
  <si>
    <t>06:02</t>
  </si>
  <si>
    <t>08:0217:07</t>
  </si>
  <si>
    <t>07:1720:10</t>
  </si>
  <si>
    <t>07:1417:56</t>
  </si>
  <si>
    <t>08:5919:08</t>
  </si>
  <si>
    <t>20:29</t>
  </si>
  <si>
    <t>08:44</t>
  </si>
  <si>
    <t>08:0018:03</t>
  </si>
  <si>
    <t>11:2518:20</t>
  </si>
  <si>
    <t>17:3617:37</t>
  </si>
  <si>
    <t>08:1318:12</t>
  </si>
  <si>
    <t>11:5418:09</t>
  </si>
  <si>
    <t>07:03</t>
  </si>
  <si>
    <t>09:5619:23</t>
  </si>
  <si>
    <t>07:2019:17</t>
  </si>
  <si>
    <t>07:1619:10</t>
  </si>
  <si>
    <t>07:2419:14</t>
  </si>
  <si>
    <t>07:1818:05</t>
  </si>
  <si>
    <t>07:2207:2220:07</t>
  </si>
  <si>
    <t>07:2221:14</t>
  </si>
  <si>
    <t>08:0519:27</t>
  </si>
  <si>
    <t>07:2620:00</t>
  </si>
  <si>
    <t>07:2419:38</t>
  </si>
  <si>
    <t>07:3222:57</t>
  </si>
  <si>
    <t>08:2122:48</t>
  </si>
  <si>
    <t>07:4823:26</t>
  </si>
  <si>
    <t>08:0019:58</t>
  </si>
  <si>
    <t>07:2421:09</t>
  </si>
  <si>
    <t>13:0522:59</t>
  </si>
  <si>
    <t>07:2922:15</t>
  </si>
  <si>
    <t>08:1120:54</t>
  </si>
  <si>
    <t>07:5922:43</t>
  </si>
  <si>
    <t>07:2521:21</t>
  </si>
  <si>
    <t>07:25</t>
  </si>
  <si>
    <t>07:3118:49</t>
  </si>
  <si>
    <t>07:2907:30</t>
  </si>
  <si>
    <t>07:3207:3218:32</t>
  </si>
  <si>
    <t>07:2018:21</t>
  </si>
  <si>
    <t>07:5018:32</t>
  </si>
  <si>
    <t>07:4318:59</t>
  </si>
  <si>
    <t>07:3218:3718:37</t>
  </si>
  <si>
    <t>07:3219:18</t>
  </si>
  <si>
    <t>07:18</t>
  </si>
  <si>
    <t>07:3916:26</t>
  </si>
  <si>
    <t>07:4716:12</t>
  </si>
  <si>
    <t>07:3317:13</t>
  </si>
  <si>
    <t>07:3017:13</t>
  </si>
  <si>
    <t>08:1016:26</t>
  </si>
  <si>
    <t>08:4216:05</t>
  </si>
  <si>
    <t>07:5217:04</t>
  </si>
  <si>
    <t>08:0416:20</t>
  </si>
  <si>
    <t>08:37</t>
  </si>
  <si>
    <t>07:3407:3418:4918:49</t>
  </si>
  <si>
    <t>07:2407:2418:3818:38</t>
  </si>
  <si>
    <t>07:4007:4017:5817:58</t>
  </si>
  <si>
    <t>07:3007:3119:0919:0919:09</t>
  </si>
  <si>
    <t>07:1907:1918:0518:0518:0918:10</t>
  </si>
  <si>
    <t>07:5307:5317:5517:5518:0018:00</t>
  </si>
  <si>
    <t>07:4507:4516:0416:0419:0019:0019:00</t>
  </si>
  <si>
    <t>07:3007:3017:0517:05</t>
  </si>
  <si>
    <t>07:2607:2618:5418:54</t>
  </si>
  <si>
    <t>07:4007:40</t>
  </si>
  <si>
    <t>07:3107:3118:30</t>
  </si>
  <si>
    <t>07:3107:3107:3107:3118:21</t>
  </si>
  <si>
    <t>07:2618:32</t>
  </si>
  <si>
    <t>07:4318:5918:5918:59</t>
  </si>
  <si>
    <t>07:3418:37</t>
  </si>
  <si>
    <t>07:2719:36</t>
  </si>
  <si>
    <t>07:19</t>
  </si>
  <si>
    <t>07:5617:03</t>
  </si>
  <si>
    <t>07:3116:42</t>
  </si>
  <si>
    <t>07:3516:42</t>
  </si>
  <si>
    <t>07:3217:04</t>
  </si>
  <si>
    <t>07:3017:20</t>
  </si>
  <si>
    <t>07:3517:24</t>
  </si>
  <si>
    <t>07:3218:00</t>
  </si>
  <si>
    <t>07:3418:03</t>
  </si>
  <si>
    <t>07:3416:2516:25</t>
  </si>
  <si>
    <t>07:4618:32</t>
  </si>
  <si>
    <t>07:3317:06</t>
  </si>
  <si>
    <t>07:3218:19</t>
  </si>
  <si>
    <t>07:2918:35</t>
  </si>
  <si>
    <t>07:17</t>
  </si>
  <si>
    <t>07:1618:08</t>
  </si>
  <si>
    <t>07:4317:54</t>
  </si>
  <si>
    <t>07:4316:0918:59</t>
  </si>
  <si>
    <t>07:3218:40</t>
  </si>
  <si>
    <t>07:52</t>
  </si>
  <si>
    <t>07:2617:1118:04</t>
  </si>
  <si>
    <t>07:2317:56</t>
  </si>
  <si>
    <t>07:2318:00</t>
  </si>
  <si>
    <t>07:1718:00</t>
  </si>
  <si>
    <t>07:2518:05</t>
  </si>
  <si>
    <t>07:3817:12</t>
  </si>
  <si>
    <t>07:3018:00</t>
  </si>
  <si>
    <t>07:3518:03</t>
  </si>
  <si>
    <t>07:1717:16</t>
  </si>
  <si>
    <t>07:2517:18</t>
  </si>
  <si>
    <t>07:2517:05</t>
  </si>
  <si>
    <t>07:3216:54</t>
  </si>
  <si>
    <t>08:0716:04</t>
  </si>
  <si>
    <t>07:3016:05</t>
  </si>
  <si>
    <t>07:3216:05</t>
  </si>
  <si>
    <t>07:3316:54</t>
  </si>
  <si>
    <t>07:5517:04</t>
  </si>
  <si>
    <t>07:3216:20</t>
  </si>
  <si>
    <t>07:3216:4416:44</t>
  </si>
  <si>
    <t>07:2516:42</t>
  </si>
  <si>
    <t>08:18</t>
  </si>
  <si>
    <t>07:3217:0017:00</t>
  </si>
  <si>
    <t>07:3416:44</t>
  </si>
  <si>
    <t>07:2516:4216:4216:42</t>
  </si>
  <si>
    <t>07:3007:3007:3017:0517:05</t>
  </si>
  <si>
    <t>07:2517:2117:21</t>
  </si>
  <si>
    <t>08:1217:2417:24</t>
  </si>
  <si>
    <t>07:4818:00</t>
  </si>
  <si>
    <t>07:3118:0318:0318:03</t>
  </si>
  <si>
    <t>07:2416:5016:5017:04</t>
  </si>
  <si>
    <t>07:2518:3218:32</t>
  </si>
  <si>
    <t>07:2807:2817:06</t>
  </si>
  <si>
    <t>07:1517:03</t>
  </si>
  <si>
    <t>07:2217:00</t>
  </si>
  <si>
    <t>07:1417:01</t>
  </si>
  <si>
    <t>07:2717:03</t>
  </si>
  <si>
    <t>07:2917:01</t>
  </si>
  <si>
    <t>07:2717:00</t>
  </si>
  <si>
    <t>07:3217:30</t>
  </si>
  <si>
    <t>07:3717:01</t>
  </si>
  <si>
    <t>07:4217:02</t>
  </si>
  <si>
    <t>07:3416:08</t>
  </si>
  <si>
    <t>07:3317:00</t>
  </si>
  <si>
    <t>07:3217:01</t>
  </si>
  <si>
    <t>07:3320:10</t>
  </si>
  <si>
    <t>07:3417:04</t>
  </si>
  <si>
    <t>07:3017:26</t>
  </si>
  <si>
    <t>07:3617:20</t>
  </si>
  <si>
    <t>07:3917:27</t>
  </si>
  <si>
    <t>07:4217:10</t>
  </si>
  <si>
    <t>07:3516:3116:32</t>
  </si>
  <si>
    <t>07:4016:45</t>
  </si>
  <si>
    <t>07:3317:04</t>
  </si>
  <si>
    <t>07:3017:01</t>
  </si>
  <si>
    <t>07:1416:29</t>
  </si>
  <si>
    <t>07:4617:40</t>
  </si>
  <si>
    <t>07:1915:56</t>
  </si>
  <si>
    <t>07:3116:13</t>
  </si>
  <si>
    <t>07:2116:36</t>
  </si>
  <si>
    <t>07:3117:12</t>
  </si>
  <si>
    <t>07:2818:39</t>
  </si>
  <si>
    <t>07:2316:44</t>
  </si>
  <si>
    <t>08:0417:07</t>
  </si>
  <si>
    <t>07:2320:10</t>
  </si>
  <si>
    <t>06:5817:04</t>
  </si>
  <si>
    <t>07:2017:18</t>
  </si>
  <si>
    <t>07:2017:15</t>
  </si>
  <si>
    <t>07:1917:03</t>
  </si>
  <si>
    <t>06:3716:37</t>
  </si>
  <si>
    <t>07:3816:08</t>
  </si>
  <si>
    <t>07:4917:03</t>
  </si>
  <si>
    <t>07:4017:07</t>
  </si>
  <si>
    <t>07:2017:02</t>
  </si>
  <si>
    <t>07:5217:07</t>
  </si>
  <si>
    <t>08:0417:06</t>
  </si>
  <si>
    <t>07:5017:01</t>
  </si>
  <si>
    <t>07:4517:01</t>
  </si>
  <si>
    <t>07:4017:00</t>
  </si>
  <si>
    <t>07:2917:28</t>
  </si>
  <si>
    <t>07:2517:38</t>
  </si>
  <si>
    <t>07:4907:5116:38</t>
  </si>
  <si>
    <t>08:0008:0016:24</t>
  </si>
  <si>
    <t>08:5020:50</t>
  </si>
  <si>
    <t>07:5516:5016:5016:50</t>
  </si>
  <si>
    <t>08:3817:06</t>
  </si>
  <si>
    <t>06:5219:06</t>
  </si>
  <si>
    <t>06:5719:07</t>
  </si>
  <si>
    <t>06:4319:08</t>
  </si>
  <si>
    <t>06:5919:07</t>
  </si>
  <si>
    <t>06:5919:03</t>
  </si>
  <si>
    <t>18:58</t>
  </si>
  <si>
    <t>07:1619:02</t>
  </si>
  <si>
    <t>07:0418:50</t>
  </si>
  <si>
    <t>07:0618:48</t>
  </si>
  <si>
    <t>07:09</t>
  </si>
  <si>
    <t>06:5706:5706:5819:0219:02</t>
  </si>
  <si>
    <t>07:0207:0207:0219:0119:0119:01</t>
  </si>
  <si>
    <t>06:5806:5806:5819:0419:0419:04</t>
  </si>
  <si>
    <t>07:0107:0107:0119:0119:0119:01</t>
  </si>
  <si>
    <t>06:5906:5906:59</t>
  </si>
  <si>
    <t>07:0307:0307:0319:0019:0019:00</t>
  </si>
  <si>
    <t>07:0307:0307:0318:5918:5918:59</t>
  </si>
  <si>
    <t>07:0207:0207:0218:5818:5818:58</t>
  </si>
  <si>
    <t>07:0407:0407:0418:5718:5718:57</t>
  </si>
  <si>
    <t>07:0707:0707:0718:2618:2618:26</t>
  </si>
  <si>
    <t>07:0707:0707:07</t>
  </si>
  <si>
    <t>07:0307:0307:0318:5618:56</t>
  </si>
  <si>
    <t>07:0107:0118:5718:57</t>
  </si>
  <si>
    <t>07:0207:0218:5618:56</t>
  </si>
  <si>
    <t>07:0207:0218:5718:5718:57</t>
  </si>
  <si>
    <t>07:0607:0618:5518:55</t>
  </si>
  <si>
    <t>07:3007:3018:5618:56</t>
  </si>
  <si>
    <t>07:1007:10</t>
  </si>
  <si>
    <t>08:0316:34</t>
  </si>
  <si>
    <t>07:5716:35</t>
  </si>
  <si>
    <t>07:2917:26</t>
  </si>
  <si>
    <t>08:2020:29</t>
  </si>
  <si>
    <t>07:4016:28</t>
  </si>
  <si>
    <t>07:3416:33</t>
  </si>
  <si>
    <t>07:4116:09</t>
  </si>
  <si>
    <t>07:3317:07</t>
  </si>
  <si>
    <t>FAJAR DWI CHANDRA</t>
  </si>
  <si>
    <t>Admin Logistik</t>
  </si>
  <si>
    <t>Admin</t>
  </si>
  <si>
    <t>SUDIRMAN H</t>
  </si>
  <si>
    <t>EDY JAKA S</t>
  </si>
  <si>
    <t>TAUFIQ H</t>
  </si>
  <si>
    <t>JORLAN SIBATUARA</t>
  </si>
  <si>
    <t>Koordinator Security</t>
  </si>
  <si>
    <t>07:39</t>
  </si>
  <si>
    <t>07:4016:04</t>
  </si>
  <si>
    <t>x</t>
  </si>
  <si>
    <t>∑ Total Lembur</t>
  </si>
  <si>
    <t>Kategori</t>
  </si>
  <si>
    <t>In</t>
  </si>
  <si>
    <t>Out</t>
  </si>
  <si>
    <t>Absen</t>
  </si>
  <si>
    <t>Lembur</t>
  </si>
  <si>
    <t>07:45</t>
  </si>
  <si>
    <t>33</t>
  </si>
  <si>
    <t>ALEXPAULUS</t>
  </si>
  <si>
    <t>32</t>
  </si>
  <si>
    <t>AKBARMAULANA</t>
  </si>
  <si>
    <t>07:0507:0519:0219:02</t>
  </si>
  <si>
    <t>AKBAR MAULANA</t>
  </si>
  <si>
    <t>ALEX PAULUS</t>
  </si>
  <si>
    <t>Siswa Magang</t>
  </si>
  <si>
    <t>07:38</t>
  </si>
  <si>
    <t>16:01</t>
  </si>
  <si>
    <t>07:43</t>
  </si>
  <si>
    <t>16:11</t>
  </si>
  <si>
    <t>07:33</t>
  </si>
  <si>
    <t>07:07</t>
  </si>
  <si>
    <t>06:56</t>
  </si>
  <si>
    <t>19:07</t>
  </si>
  <si>
    <t>07:47</t>
  </si>
  <si>
    <t>07:51</t>
  </si>
  <si>
    <t>GABRIEL MARBUN</t>
  </si>
  <si>
    <t>07:4718:30</t>
  </si>
  <si>
    <t>07:3916:07</t>
  </si>
  <si>
    <t>07:3416:01</t>
  </si>
  <si>
    <t>07:3616:00</t>
  </si>
  <si>
    <t>07:4216:00</t>
  </si>
  <si>
    <t>07:4316:00</t>
  </si>
  <si>
    <t>07:3916:00</t>
  </si>
  <si>
    <t>06:5819:03</t>
  </si>
  <si>
    <t>07:0018:57</t>
  </si>
  <si>
    <t>07:0307:0319:0219:02</t>
  </si>
  <si>
    <t>07:0307:0307:0319:0319:0319:03</t>
  </si>
  <si>
    <t>07:0307:0307:0319:0419:0419:04</t>
  </si>
  <si>
    <t>07:0307:0319:0119:01</t>
  </si>
  <si>
    <t>07:0107:0119:0219:02</t>
  </si>
  <si>
    <t>07:0007:0019:0019:00</t>
  </si>
  <si>
    <t>07:0407:0418:5918:59</t>
  </si>
  <si>
    <t>07:0407:0419:0319:03</t>
  </si>
  <si>
    <t>07:0407:0418:5818:58</t>
  </si>
  <si>
    <t>07:0207:0218:5918:59</t>
  </si>
  <si>
    <t>FAIKAR</t>
  </si>
  <si>
    <t>34</t>
  </si>
  <si>
    <t>GABRIEL</t>
  </si>
  <si>
    <t>35</t>
  </si>
  <si>
    <t>wagiman</t>
  </si>
  <si>
    <t>36</t>
  </si>
  <si>
    <t>07:3317:16</t>
  </si>
  <si>
    <t>arifrendi</t>
  </si>
  <si>
    <t>37</t>
  </si>
  <si>
    <t>firlanda</t>
  </si>
  <si>
    <t>38</t>
  </si>
  <si>
    <t>soleh</t>
  </si>
  <si>
    <t>39</t>
  </si>
  <si>
    <t>ADMIN</t>
  </si>
  <si>
    <t>JONI SEPTIAN</t>
  </si>
  <si>
    <t>REJEKI SIREGAR</t>
  </si>
  <si>
    <t>SOLEH AL MUZAKAR</t>
  </si>
  <si>
    <t>FIRLANDA DOLOK SARIBU</t>
  </si>
  <si>
    <t>Operator Road Cold Recycler XCMG XLZ2303K</t>
  </si>
  <si>
    <t>Helper Mekanik</t>
  </si>
  <si>
    <t>07:23</t>
  </si>
  <si>
    <t>07:37</t>
  </si>
  <si>
    <t>07:34</t>
  </si>
  <si>
    <t/>
  </si>
  <si>
    <t>07:28</t>
  </si>
  <si>
    <t>07:29</t>
  </si>
  <si>
    <t>07:35</t>
  </si>
  <si>
    <t>07:32</t>
  </si>
  <si>
    <t>18:37</t>
  </si>
  <si>
    <t>18:45</t>
  </si>
  <si>
    <t>17:20</t>
  </si>
  <si>
    <t>17:27</t>
  </si>
  <si>
    <t>17:28</t>
  </si>
  <si>
    <t>16:25</t>
  </si>
  <si>
    <t>15:00</t>
  </si>
  <si>
    <t>18:16</t>
  </si>
  <si>
    <t>16:54</t>
  </si>
  <si>
    <t>18:25</t>
  </si>
  <si>
    <t>07:54</t>
  </si>
  <si>
    <t>08:21</t>
  </si>
  <si>
    <t>07:48</t>
  </si>
  <si>
    <t>07:56</t>
  </si>
  <si>
    <t>08:02</t>
  </si>
  <si>
    <t>07:50</t>
  </si>
  <si>
    <t>07:55</t>
  </si>
  <si>
    <t>08:11</t>
  </si>
  <si>
    <t>17:57</t>
  </si>
  <si>
    <t>18:13</t>
  </si>
  <si>
    <t>16:23</t>
  </si>
  <si>
    <t>19:03</t>
  </si>
  <si>
    <t>17:34</t>
  </si>
  <si>
    <t>19:22</t>
  </si>
  <si>
    <t>19:05</t>
  </si>
  <si>
    <t>15:42</t>
  </si>
  <si>
    <t>16:19</t>
  </si>
  <si>
    <t>17:05</t>
  </si>
  <si>
    <t>19:04</t>
  </si>
  <si>
    <t>07:41</t>
  </si>
  <si>
    <t>07:42</t>
  </si>
  <si>
    <t>07:46</t>
  </si>
  <si>
    <t>07:36</t>
  </si>
  <si>
    <t>16:32</t>
  </si>
  <si>
    <t>16:21</t>
  </si>
  <si>
    <t>18:11</t>
  </si>
  <si>
    <t>17:06</t>
  </si>
  <si>
    <t>17:19</t>
  </si>
  <si>
    <t>16:39</t>
  </si>
  <si>
    <t>16:56</t>
  </si>
  <si>
    <t>16:09</t>
  </si>
  <si>
    <t>16:07</t>
  </si>
  <si>
    <t>16:06</t>
  </si>
  <si>
    <t>16:10</t>
  </si>
  <si>
    <t>20:04</t>
  </si>
  <si>
    <t>16:35</t>
  </si>
  <si>
    <t>22:03</t>
  </si>
  <si>
    <t>21:20</t>
  </si>
  <si>
    <t>18:30</t>
  </si>
  <si>
    <t>16:00</t>
  </si>
  <si>
    <t>07:59</t>
  </si>
  <si>
    <t>08:07</t>
  </si>
  <si>
    <t>08:01</t>
  </si>
  <si>
    <t>08:03</t>
  </si>
  <si>
    <t>07:57</t>
  </si>
  <si>
    <t>07:44</t>
  </si>
  <si>
    <t>17:55</t>
  </si>
  <si>
    <t>16:04</t>
  </si>
  <si>
    <t>17:17</t>
  </si>
  <si>
    <t>19:27</t>
  </si>
  <si>
    <t>16:13</t>
  </si>
  <si>
    <t>17:39</t>
  </si>
  <si>
    <t>20:48</t>
  </si>
  <si>
    <t>18:08</t>
  </si>
  <si>
    <t>21:08</t>
  </si>
  <si>
    <t>17:32</t>
  </si>
  <si>
    <t>07:13</t>
  </si>
  <si>
    <t>07:16</t>
  </si>
  <si>
    <t>21:00</t>
  </si>
  <si>
    <t>18:10</t>
  </si>
  <si>
    <t>17:37</t>
  </si>
  <si>
    <t>17:03</t>
  </si>
  <si>
    <t>08:09</t>
  </si>
  <si>
    <t>08:15</t>
  </si>
  <si>
    <t>07:58</t>
  </si>
  <si>
    <t>18:57</t>
  </si>
  <si>
    <t>17:36</t>
  </si>
  <si>
    <t>18:26</t>
  </si>
  <si>
    <t>17:52</t>
  </si>
  <si>
    <t>16:28</t>
  </si>
  <si>
    <t>16:33</t>
  </si>
  <si>
    <t>19:56</t>
  </si>
  <si>
    <t>17:21</t>
  </si>
  <si>
    <t>08:10</t>
  </si>
  <si>
    <t>08:12</t>
  </si>
  <si>
    <t>16:03</t>
  </si>
  <si>
    <t>17:18</t>
  </si>
  <si>
    <t>16:24</t>
  </si>
  <si>
    <t>16:05</t>
  </si>
  <si>
    <t>16:02</t>
  </si>
  <si>
    <t>15:55</t>
  </si>
  <si>
    <t>15:36</t>
  </si>
  <si>
    <t>16:08</t>
  </si>
  <si>
    <t>15:37</t>
  </si>
  <si>
    <t>08:04</t>
  </si>
  <si>
    <t>15:58</t>
  </si>
  <si>
    <t>16:18</t>
  </si>
  <si>
    <t>06:57</t>
  </si>
  <si>
    <t>06:55</t>
  </si>
  <si>
    <t>06:53</t>
  </si>
  <si>
    <t>06:58</t>
  </si>
  <si>
    <t>07:00</t>
  </si>
  <si>
    <t>07:05</t>
  </si>
  <si>
    <t>07:02</t>
  </si>
  <si>
    <t>07:01</t>
  </si>
  <si>
    <t>19:01</t>
  </si>
  <si>
    <t>19:16</t>
  </si>
  <si>
    <t>18:59</t>
  </si>
  <si>
    <t>18:55</t>
  </si>
  <si>
    <t>19:06</t>
  </si>
  <si>
    <t>07:04</t>
  </si>
  <si>
    <t>07:12</t>
  </si>
  <si>
    <t>06:49</t>
  </si>
  <si>
    <t>06:59</t>
  </si>
  <si>
    <t>19:09</t>
  </si>
  <si>
    <t>19:10</t>
  </si>
  <si>
    <t>21:45</t>
  </si>
  <si>
    <t>08:13</t>
  </si>
  <si>
    <t>08:00</t>
  </si>
  <si>
    <t>08:20</t>
  </si>
  <si>
    <t>08:14</t>
  </si>
  <si>
    <t>17:25</t>
  </si>
  <si>
    <t>21:33</t>
  </si>
  <si>
    <t>18:32</t>
  </si>
  <si>
    <t>17:09</t>
  </si>
  <si>
    <t>19:17</t>
  </si>
  <si>
    <t>18:02</t>
  </si>
  <si>
    <t>URWATUL USKA</t>
  </si>
  <si>
    <t>HELPER MEKANIK</t>
  </si>
  <si>
    <t>08:08</t>
  </si>
  <si>
    <t>17:11</t>
  </si>
  <si>
    <t>MEKANIK</t>
  </si>
  <si>
    <t>17:16</t>
  </si>
  <si>
    <t>FAIKAR IZZANI FATTAAH</t>
  </si>
  <si>
    <t>WAGIMAN BARUTU</t>
  </si>
  <si>
    <t>ARIF RANDY</t>
  </si>
  <si>
    <t>Helper Opr. Road Cold Recycler XCMG XLZ2303K</t>
  </si>
  <si>
    <t>DANY AGUNG</t>
  </si>
  <si>
    <t>Dept. Equipment PT. BRA</t>
  </si>
  <si>
    <t>Duri, 27 Desember 2025</t>
  </si>
  <si>
    <t>Dibuat oleh</t>
  </si>
  <si>
    <t>PERIODE TGL. 21 Desember 2025 s.d. 20 Januari 2026</t>
  </si>
  <si>
    <t>DESEMBER 2025</t>
  </si>
  <si>
    <t>JANUARI 2026</t>
  </si>
  <si>
    <t xml:space="preserve">JANUARI 2026 </t>
  </si>
  <si>
    <t>Periode Tanggal 21 Desember 2025 S.D. 20 Januari 2026</t>
  </si>
  <si>
    <t xml:space="preserve">REKAPITULASI ABSEN LOKASI ( TIDAK FINGER PRINT  ) </t>
  </si>
  <si>
    <t>2025-12-21 ~ 2026-01-20</t>
  </si>
  <si>
    <t>2026-01-22</t>
  </si>
  <si>
    <t>06:1421:28</t>
  </si>
  <si>
    <t>06:3922:32</t>
  </si>
  <si>
    <t>07:0422:46</t>
  </si>
  <si>
    <t>07:3019:40</t>
  </si>
  <si>
    <t>06:2522:14</t>
  </si>
  <si>
    <t>06:3022:00</t>
  </si>
  <si>
    <t>05:4922:14</t>
  </si>
  <si>
    <t>07:2321:22</t>
  </si>
  <si>
    <t>06:1818:48</t>
  </si>
  <si>
    <t>05:4122:39</t>
  </si>
  <si>
    <t>06:0822:53</t>
  </si>
  <si>
    <t>06:0623:03</t>
  </si>
  <si>
    <t>06:4822:46</t>
  </si>
  <si>
    <t>06:0622:37</t>
  </si>
  <si>
    <t>08:1623:08</t>
  </si>
  <si>
    <t>05:5922:09</t>
  </si>
  <si>
    <t>06:1822:56</t>
  </si>
  <si>
    <t>06:1923:03</t>
  </si>
  <si>
    <t>06:0022:58</t>
  </si>
  <si>
    <t>09:4521:59</t>
  </si>
  <si>
    <t>06:0023:5023:51</t>
  </si>
  <si>
    <t>09:5222:24</t>
  </si>
  <si>
    <t>07:08</t>
  </si>
  <si>
    <t>06:0522:57</t>
  </si>
  <si>
    <t>09:27</t>
  </si>
  <si>
    <t>07:4922:01</t>
  </si>
  <si>
    <t>07:5019:26</t>
  </si>
  <si>
    <t>09:58</t>
  </si>
  <si>
    <t>07:4419:15</t>
  </si>
  <si>
    <t>10:10</t>
  </si>
  <si>
    <t>08:30</t>
  </si>
  <si>
    <t>08:5919:37</t>
  </si>
  <si>
    <t>08:49</t>
  </si>
  <si>
    <t>07:1917:36</t>
  </si>
  <si>
    <t>07:2518:26</t>
  </si>
  <si>
    <t>07:2418:16</t>
  </si>
  <si>
    <t>07:1818:10</t>
  </si>
  <si>
    <t>07:2318:17</t>
  </si>
  <si>
    <t>07:2107:2118:1118:11</t>
  </si>
  <si>
    <t>07:2107:2117:5117:52</t>
  </si>
  <si>
    <t>07:2107:2117:3917:39</t>
  </si>
  <si>
    <t>07:2707:2714:23</t>
  </si>
  <si>
    <t>07:2617:3517:35</t>
  </si>
  <si>
    <t>07:2707:2717:2117:21</t>
  </si>
  <si>
    <t>07:3607:3616:4916:4916:49</t>
  </si>
  <si>
    <t>07:3807:3817:3817:38</t>
  </si>
  <si>
    <t>07:3007:3017:27</t>
  </si>
  <si>
    <t>07:2207:2315:56</t>
  </si>
  <si>
    <t>07:3107:3117:16</t>
  </si>
  <si>
    <t>07:2507:2517:05</t>
  </si>
  <si>
    <t>07:3207:3217:06</t>
  </si>
  <si>
    <t>07:2207:2213:41</t>
  </si>
  <si>
    <t>07:2918:0818:08</t>
  </si>
  <si>
    <t>07:2707:2717:5617:56</t>
  </si>
  <si>
    <t>07:4319:07</t>
  </si>
  <si>
    <t>07:3518:42</t>
  </si>
  <si>
    <t>07:3918:21</t>
  </si>
  <si>
    <t>08:1721:36</t>
  </si>
  <si>
    <t>08:5022:19</t>
  </si>
  <si>
    <t>07:5416:13</t>
  </si>
  <si>
    <t>07:4818:06</t>
  </si>
  <si>
    <t>07:3818:25</t>
  </si>
  <si>
    <t>14:12</t>
  </si>
  <si>
    <t>07:5517:42</t>
  </si>
  <si>
    <t>07:2607:4819:18</t>
  </si>
  <si>
    <t>08:0819:23</t>
  </si>
  <si>
    <t>07:3618:42</t>
  </si>
  <si>
    <t>07:4218:55</t>
  </si>
  <si>
    <t>07:4315:36</t>
  </si>
  <si>
    <t>07:5519:34</t>
  </si>
  <si>
    <t>08:0118:50</t>
  </si>
  <si>
    <t>07:4717:46</t>
  </si>
  <si>
    <t>08:0208:0617:55</t>
  </si>
  <si>
    <t>08:1219:54</t>
  </si>
  <si>
    <t>07:3820:36</t>
  </si>
  <si>
    <t>08:0221:26</t>
  </si>
  <si>
    <t>07:3907:4420:59</t>
  </si>
  <si>
    <t>07:4122:02</t>
  </si>
  <si>
    <t>07:3721:06</t>
  </si>
  <si>
    <t>07:5219:39</t>
  </si>
  <si>
    <t>07:3922:12</t>
  </si>
  <si>
    <t>07:5318:32</t>
  </si>
  <si>
    <t>07:4008:0021:00</t>
  </si>
  <si>
    <t>07:5313:56</t>
  </si>
  <si>
    <t>08:4216:0816:0816:0816:0816:08</t>
  </si>
  <si>
    <t>07:4018:32</t>
  </si>
  <si>
    <t>07:4722:28</t>
  </si>
  <si>
    <t>07:4522:57</t>
  </si>
  <si>
    <t>22:1622:16</t>
  </si>
  <si>
    <t>07:4022:0322:0322:0322:03</t>
  </si>
  <si>
    <t>08:1518:43</t>
  </si>
  <si>
    <t>07:4819:43</t>
  </si>
  <si>
    <t>00:1300:1300:1300:1300:1300:1307:4407:5822:3422:37</t>
  </si>
  <si>
    <t>07:2718:56</t>
  </si>
  <si>
    <t>07:4208:1022:13</t>
  </si>
  <si>
    <t>07:4107:43</t>
  </si>
  <si>
    <t>08:0521:1221:12</t>
  </si>
  <si>
    <t>20:5920:59</t>
  </si>
  <si>
    <t>07:4807:4822:0322:03</t>
  </si>
  <si>
    <t>07:4207:4216:0716:07</t>
  </si>
  <si>
    <t>07:3807:3816:5416:54</t>
  </si>
  <si>
    <t>07:4107:4119:2719:27</t>
  </si>
  <si>
    <t>07:4520:5320:53</t>
  </si>
  <si>
    <t>07:4307:4318:3018:30</t>
  </si>
  <si>
    <t>07:5807:5821:0021:00</t>
  </si>
  <si>
    <t>07:3507:3513:56</t>
  </si>
  <si>
    <t>07:3007:3016:0916:09</t>
  </si>
  <si>
    <t>07:3307:3318:3218:32</t>
  </si>
  <si>
    <t>07:2722:5622:5622:56</t>
  </si>
  <si>
    <t>07:5107:5122:49</t>
  </si>
  <si>
    <t>07:4207:4217:1517:15</t>
  </si>
  <si>
    <t>07:4307:4318:1118:1118:1118:13</t>
  </si>
  <si>
    <t>07:5107:5107:5118:5918:59</t>
  </si>
  <si>
    <t>07:4707:4719:3719:37</t>
  </si>
  <si>
    <t>07:3907:3919:1219:1219:12</t>
  </si>
  <si>
    <t>07:3707:3707:5819:0519:06</t>
  </si>
  <si>
    <t>07:3507:3517:1817:1817:1922:0222:0222:03</t>
  </si>
  <si>
    <t>07:4507:4519:4219:4419:44</t>
  </si>
  <si>
    <t>07:4807:4817:1217:12</t>
  </si>
  <si>
    <t>07:4821:19</t>
  </si>
  <si>
    <t>07:3621:33</t>
  </si>
  <si>
    <t>07:3322:05</t>
  </si>
  <si>
    <t>07:4721:07</t>
  </si>
  <si>
    <t>07:1320:30</t>
  </si>
  <si>
    <t>07:3522:14</t>
  </si>
  <si>
    <t>07:3822:1222:13</t>
  </si>
  <si>
    <t>07:4716:06</t>
  </si>
  <si>
    <t>07:3321:08</t>
  </si>
  <si>
    <t>07:3720:06</t>
  </si>
  <si>
    <t>07:3221:0421:04</t>
  </si>
  <si>
    <t>07:0207:4713:22</t>
  </si>
  <si>
    <t>07:3616:08</t>
  </si>
  <si>
    <t>07:3619:1219:12</t>
  </si>
  <si>
    <t>07:3422:31</t>
  </si>
  <si>
    <t>07:3823:02</t>
  </si>
  <si>
    <t>07:4923:05</t>
  </si>
  <si>
    <t>07:4019:1019:10</t>
  </si>
  <si>
    <t>07:4622:13</t>
  </si>
  <si>
    <t>07:3519:05</t>
  </si>
  <si>
    <t>07:4020:00</t>
  </si>
  <si>
    <t>00:1300:1307:3623:00</t>
  </si>
  <si>
    <t>07:4619:06</t>
  </si>
  <si>
    <t>07:4222:16</t>
  </si>
  <si>
    <t>07:3022:1822:18</t>
  </si>
  <si>
    <t>07:3522:12</t>
  </si>
  <si>
    <t>07:4419:17</t>
  </si>
  <si>
    <t>21:07</t>
  </si>
  <si>
    <t>07:5622:02</t>
  </si>
  <si>
    <t>07:3721:07</t>
  </si>
  <si>
    <t>07:5020:53</t>
  </si>
  <si>
    <t>07:5218:31</t>
  </si>
  <si>
    <t>08:42</t>
  </si>
  <si>
    <t>20:09</t>
  </si>
  <si>
    <t>08:5317:2019:20</t>
  </si>
  <si>
    <t>07:3207:3317:33</t>
  </si>
  <si>
    <t>07:3418:50</t>
  </si>
  <si>
    <t>07:3816:21</t>
  </si>
  <si>
    <t>09:5316:3217:32</t>
  </si>
  <si>
    <t>07:2922:01</t>
  </si>
  <si>
    <t>07:4420:03</t>
  </si>
  <si>
    <t>08:3018:17</t>
  </si>
  <si>
    <t>07:3620:56</t>
  </si>
  <si>
    <t>07:3520:58</t>
  </si>
  <si>
    <t>07:4118:26</t>
  </si>
  <si>
    <t>17:47</t>
  </si>
  <si>
    <t>07:4121:12</t>
  </si>
  <si>
    <t>07:4017:04</t>
  </si>
  <si>
    <t>07:3220:03</t>
  </si>
  <si>
    <t>07:3117:28</t>
  </si>
  <si>
    <t>08:1218:1318:13</t>
  </si>
  <si>
    <t>07:3217:23</t>
  </si>
  <si>
    <t>07:3216:5020:01</t>
  </si>
  <si>
    <t>07:3116:14</t>
  </si>
  <si>
    <t>07:3415:42</t>
  </si>
  <si>
    <t>08:2018:17</t>
  </si>
  <si>
    <t>07:3717:00</t>
  </si>
  <si>
    <t>07:3516:21</t>
  </si>
  <si>
    <t>08:0916:2416:24</t>
  </si>
  <si>
    <t>18:0218:02</t>
  </si>
  <si>
    <t>08:1408:14</t>
  </si>
  <si>
    <t>07:5607:5620:5920:59</t>
  </si>
  <si>
    <t>08:0508:0522:0222:02</t>
  </si>
  <si>
    <t>07:4107:41</t>
  </si>
  <si>
    <t>08:1108:1119:1919:19</t>
  </si>
  <si>
    <t>08:0818:3018:30</t>
  </si>
  <si>
    <t>08:0218:3218:32</t>
  </si>
  <si>
    <t>07:4007:4013:5613:56</t>
  </si>
  <si>
    <t>08:0908:0916:2416:24</t>
  </si>
  <si>
    <t>07:4518:0218:02</t>
  </si>
  <si>
    <t>08:1308:13</t>
  </si>
  <si>
    <t>07:3417:3317:33</t>
  </si>
  <si>
    <t>07:3707:37</t>
  </si>
  <si>
    <t>07:5421:1221:12</t>
  </si>
  <si>
    <t>07:3321:33</t>
  </si>
  <si>
    <t>07:3822:06</t>
  </si>
  <si>
    <t>07:3417:28</t>
  </si>
  <si>
    <t>07:5920:31</t>
  </si>
  <si>
    <t>07:3022:1522:15</t>
  </si>
  <si>
    <t>07:3622:1322:13</t>
  </si>
  <si>
    <t>08:1716:0616:06</t>
  </si>
  <si>
    <t>07:2807:2822:0122:01</t>
  </si>
  <si>
    <t>07:3007:3018:3921:08</t>
  </si>
  <si>
    <t>07:3520:50</t>
  </si>
  <si>
    <t>07:3207:3219:4120:05</t>
  </si>
  <si>
    <t>07:4207:4222:30</t>
  </si>
  <si>
    <t>07:3122:12</t>
  </si>
  <si>
    <t>07:4023:05</t>
  </si>
  <si>
    <t>07:2918:17</t>
  </si>
  <si>
    <t>07:1018:29</t>
  </si>
  <si>
    <t>08:0418:35</t>
  </si>
  <si>
    <t>07:2907:2920:0020:0020:00</t>
  </si>
  <si>
    <t>00:1307:3822:5922:5923:0023:0023:0023:00</t>
  </si>
  <si>
    <t>07:3719:0519:05</t>
  </si>
  <si>
    <t>07:4622:1322:13</t>
  </si>
  <si>
    <t>07:5622:20</t>
  </si>
  <si>
    <t>07:2422:12</t>
  </si>
  <si>
    <t>07:4819:17</t>
  </si>
  <si>
    <t>07:3216:10</t>
  </si>
  <si>
    <t>07:3516:03</t>
  </si>
  <si>
    <t>07:3916:11</t>
  </si>
  <si>
    <t>07:4116:02</t>
  </si>
  <si>
    <t>07:3315:58</t>
  </si>
  <si>
    <t>07:3416:3916:39</t>
  </si>
  <si>
    <t>07:3716:0116:01</t>
  </si>
  <si>
    <t>07:3814:36</t>
  </si>
  <si>
    <t>07:4915:30</t>
  </si>
  <si>
    <t>07:3916:01</t>
  </si>
  <si>
    <t>07:3716:27</t>
  </si>
  <si>
    <t>07:4216:24</t>
  </si>
  <si>
    <t>07:3016:00</t>
  </si>
  <si>
    <t>07:3415:5615:56</t>
  </si>
  <si>
    <t>07:3516:02</t>
  </si>
  <si>
    <t>07:3216:09</t>
  </si>
  <si>
    <t>07:3716:18</t>
  </si>
  <si>
    <t>07:3707:3816:4016:41</t>
  </si>
  <si>
    <t>07:4215:0715:08</t>
  </si>
  <si>
    <t>07:3716:0716:07</t>
  </si>
  <si>
    <t>07:3516:0316:03</t>
  </si>
  <si>
    <t>07:4616:03</t>
  </si>
  <si>
    <t>07:3416:00</t>
  </si>
  <si>
    <t>07:4216:02</t>
  </si>
  <si>
    <t>07:4116:3916:39</t>
  </si>
  <si>
    <t>07:4216:0016:00</t>
  </si>
  <si>
    <t>07:3907:3914:35</t>
  </si>
  <si>
    <t>07:4907:4915:2915:29</t>
  </si>
  <si>
    <t>07:4116:0016:00</t>
  </si>
  <si>
    <t>07:4507:4516:0116:01</t>
  </si>
  <si>
    <t>07:4115:5615:56</t>
  </si>
  <si>
    <t>07:4116:0916:09</t>
  </si>
  <si>
    <t>07:4319:3519:35</t>
  </si>
  <si>
    <t>07:3707:3716:4016:40</t>
  </si>
  <si>
    <t>07:4107:4115:07</t>
  </si>
  <si>
    <t>07:4107:4216:0216:02</t>
  </si>
  <si>
    <t>07:4307:4316:0316:03</t>
  </si>
  <si>
    <t>08:0521:1921:20</t>
  </si>
  <si>
    <t>07:5717:2317:23</t>
  </si>
  <si>
    <t>07:4517:0517:05</t>
  </si>
  <si>
    <t>07:4820:06</t>
  </si>
  <si>
    <t>07:4922:15</t>
  </si>
  <si>
    <t>07:5522:13</t>
  </si>
  <si>
    <t>07:4919:19</t>
  </si>
  <si>
    <t>07:4021:08</t>
  </si>
  <si>
    <t>07:4807:4820:06</t>
  </si>
  <si>
    <t>07:4813:11</t>
  </si>
  <si>
    <t>07:5716:1116:11</t>
  </si>
  <si>
    <t>07:3207:3217:17</t>
  </si>
  <si>
    <t>07:5322:48</t>
  </si>
  <si>
    <t>07:5117:18</t>
  </si>
  <si>
    <t>07:5816:19</t>
  </si>
  <si>
    <t>07:4619:11</t>
  </si>
  <si>
    <t>07:5519:38</t>
  </si>
  <si>
    <t>07:5307:5323:00</t>
  </si>
  <si>
    <t>07:5519:02</t>
  </si>
  <si>
    <t>07:5020:04</t>
  </si>
  <si>
    <t>08:0417:3617:37</t>
  </si>
  <si>
    <t>07:5420:1020:11</t>
  </si>
  <si>
    <t>08:0916:01</t>
  </si>
  <si>
    <t>08:0516:00</t>
  </si>
  <si>
    <t>07:5716:00</t>
  </si>
  <si>
    <t>08:0315:00</t>
  </si>
  <si>
    <t>08:0716:03</t>
  </si>
  <si>
    <t>08:0415:55</t>
  </si>
  <si>
    <t>08:0811:55</t>
  </si>
  <si>
    <t>08:3616:00</t>
  </si>
  <si>
    <t>07:5514:32</t>
  </si>
  <si>
    <t>07:5716:22</t>
  </si>
  <si>
    <t>08:0116:06</t>
  </si>
  <si>
    <t>07:2616:00</t>
  </si>
  <si>
    <t>07:4516:08</t>
  </si>
  <si>
    <t>07:4116:00</t>
  </si>
  <si>
    <t>07:5913:19</t>
  </si>
  <si>
    <t>08:0316:0216:02</t>
  </si>
  <si>
    <t>07:5416:05</t>
  </si>
  <si>
    <t>07:5916:02</t>
  </si>
  <si>
    <t>07:5216:01</t>
  </si>
  <si>
    <t>07:5014:15</t>
  </si>
  <si>
    <t>07:3116:03</t>
  </si>
  <si>
    <t>07:5516:02</t>
  </si>
  <si>
    <t>10:0010:0020:02</t>
  </si>
  <si>
    <t>19:4919:49</t>
  </si>
  <si>
    <t>07:4121:2521:25</t>
  </si>
  <si>
    <t>07:4707:5017:28</t>
  </si>
  <si>
    <t>07:4318:43</t>
  </si>
  <si>
    <t>07:4515:21</t>
  </si>
  <si>
    <t>07:5016:5216:52</t>
  </si>
  <si>
    <t>07:4516:5616:56</t>
  </si>
  <si>
    <t>07:4007:4017:1117:11</t>
  </si>
  <si>
    <t>07:5107:5114:28</t>
  </si>
  <si>
    <t>07:4507:45</t>
  </si>
  <si>
    <t>07:4407:4416:5416:54</t>
  </si>
  <si>
    <t>07:4507:4517:1117:11</t>
  </si>
  <si>
    <t>07:4807:4820:1420:14</t>
  </si>
  <si>
    <t>07:3614:2214:22</t>
  </si>
  <si>
    <t>07:4207:4217:1717:17</t>
  </si>
  <si>
    <t>07:4407:4417:2517:25</t>
  </si>
  <si>
    <t>07:4507:4516:2516:25</t>
  </si>
  <si>
    <t>07:4216:28</t>
  </si>
  <si>
    <t>07:4112:32</t>
  </si>
  <si>
    <t>07:4817:0017:00</t>
  </si>
  <si>
    <t>07:5218:0218:02</t>
  </si>
  <si>
    <t>06:5719:02</t>
  </si>
  <si>
    <t>07:0418:58</t>
  </si>
  <si>
    <t>07:0118:53</t>
  </si>
  <si>
    <t>07:1718:59</t>
  </si>
  <si>
    <t>06:5918:55</t>
  </si>
  <si>
    <t>07:0119:06</t>
  </si>
  <si>
    <t>07:0120:00</t>
  </si>
  <si>
    <t>07:0507:0519:00</t>
  </si>
  <si>
    <t>07:0207:0318:58</t>
  </si>
  <si>
    <t>07:0119:10</t>
  </si>
  <si>
    <t>07:0118:59</t>
  </si>
  <si>
    <t>06:5819:00</t>
  </si>
  <si>
    <t>07:0119:00</t>
  </si>
  <si>
    <t>07:0319:02</t>
  </si>
  <si>
    <t>07:0219:02</t>
  </si>
  <si>
    <t>06:5619:01</t>
  </si>
  <si>
    <t>06:5919:01</t>
  </si>
  <si>
    <t>07:0019:03</t>
  </si>
  <si>
    <t>07:2018:57</t>
  </si>
  <si>
    <t>07:0218:58</t>
  </si>
  <si>
    <t>07:0207:0218:59</t>
  </si>
  <si>
    <t>07:0519:01</t>
  </si>
  <si>
    <t>07:0418:59</t>
  </si>
  <si>
    <t>07:0207:0219:0319:0319:03</t>
  </si>
  <si>
    <t>06:5306:5318:4518:45</t>
  </si>
  <si>
    <t>06:5506:5519:0319:0319:03</t>
  </si>
  <si>
    <t>06:5206:5206:5219:0219:0219:02</t>
  </si>
  <si>
    <t>06:5506:5506:5519:0419:0419:04</t>
  </si>
  <si>
    <t>06:5806:5806:5819:0119:01</t>
  </si>
  <si>
    <t>06:5706:5706:5719:0419:0419:04</t>
  </si>
  <si>
    <t>07:0007:0007:0019:0019:0019:00</t>
  </si>
  <si>
    <t>06:5806:5819:0419:05</t>
  </si>
  <si>
    <t>06:5906:5906:5919:0319:0319:03</t>
  </si>
  <si>
    <t>06:5606:5606:5619:1119:1119:11</t>
  </si>
  <si>
    <t>06:5706:5706:5719:1219:12</t>
  </si>
  <si>
    <t>07:0107:0118:5918:5918:59</t>
  </si>
  <si>
    <t>18:5718:5718:57</t>
  </si>
  <si>
    <t>07:0407:0407:0418:5618:5618:56</t>
  </si>
  <si>
    <t>07:0407:0407:04</t>
  </si>
  <si>
    <t>07:0807:0807:0819:0719:0719:07</t>
  </si>
  <si>
    <t>07:0007:0107:0119:0219:0219:02</t>
  </si>
  <si>
    <t>07:0007:0007:0019:0619:0619:06</t>
  </si>
  <si>
    <t>06:4906:4906:4919:0419:0419:04</t>
  </si>
  <si>
    <t>07:1207:1207:1219:3719:3719:37</t>
  </si>
  <si>
    <t>07:0507:0507:0519:0519:0519:05</t>
  </si>
  <si>
    <t>07:0007:0007:00</t>
  </si>
  <si>
    <t>07:0507:0507:0519:3219:3219:32</t>
  </si>
  <si>
    <t>07:0607:0607:0619:0319:0319:03</t>
  </si>
  <si>
    <t>07:0407:0407:0519:0519:0519:05</t>
  </si>
  <si>
    <t>07:2607:2607:2619:1419:1419:14</t>
  </si>
  <si>
    <t>07:1607:1607:16</t>
  </si>
  <si>
    <t>06:5906:5906:5919:0219:0219:02</t>
  </si>
  <si>
    <t>06:5806:5806:5819:1019:1019:10</t>
  </si>
  <si>
    <t>07:0307:0319:0419:04</t>
  </si>
  <si>
    <t>07:0707:0719:0219:02</t>
  </si>
  <si>
    <t>07:0007:0018:4218:42</t>
  </si>
  <si>
    <t>07:0007:0019:0419:04</t>
  </si>
  <si>
    <t>07:0907:0919:0319:03</t>
  </si>
  <si>
    <t>07:0007:0019:0319:03</t>
  </si>
  <si>
    <t>07:0107:0107:0207:0219:0519:05</t>
  </si>
  <si>
    <t>07:0107:0119:0319:03</t>
  </si>
  <si>
    <t>07:1207:1219:0419:04</t>
  </si>
  <si>
    <t>07:0507:0519:0319:03</t>
  </si>
  <si>
    <t>07:0207:0218:5518:55</t>
  </si>
  <si>
    <t>07:0307:0318:5918:59</t>
  </si>
  <si>
    <t>07:0307:0318:5418:54</t>
  </si>
  <si>
    <t>07:0107:0118:5818:59</t>
  </si>
  <si>
    <t>07:0307:0319:0019:00</t>
  </si>
  <si>
    <t>07:0207:0218:5818:58</t>
  </si>
  <si>
    <t>07:0207:0219:0319:03</t>
  </si>
  <si>
    <t>07:0007:0018:5919:00</t>
  </si>
  <si>
    <t>07:0207:0219:0119:01</t>
  </si>
  <si>
    <t>07:0707:0718:5818:58</t>
  </si>
  <si>
    <t>05:3019:0119:01</t>
  </si>
  <si>
    <t>07:4917:57</t>
  </si>
  <si>
    <t>07:5216:23</t>
  </si>
  <si>
    <t>07:5016:42</t>
  </si>
  <si>
    <t>08:2016:3316:33</t>
  </si>
  <si>
    <t>08:1316:2416:24</t>
  </si>
  <si>
    <t>16:1016:10</t>
  </si>
  <si>
    <t>07:4307:4316:0016:00</t>
  </si>
  <si>
    <t>07:1807:1817:3617:37</t>
  </si>
  <si>
    <t>07:3407:3417:1717:17</t>
  </si>
  <si>
    <t>07:3407:3418:0818:08</t>
  </si>
  <si>
    <t>07:3607:3617:2417:24</t>
  </si>
  <si>
    <t>07:4807:4818:0818:08</t>
  </si>
  <si>
    <t>07:3907:3919:2719:27</t>
  </si>
  <si>
    <t>08:1208:1219:3919:40</t>
  </si>
  <si>
    <t>08:2108:2117:2717:27</t>
  </si>
  <si>
    <t>07:5207:5217:5717:57</t>
  </si>
  <si>
    <t>07:5007:5018:1318:13</t>
  </si>
  <si>
    <t>08:0408:0418:0218:0218:02</t>
  </si>
  <si>
    <t>07:3107:3121:06</t>
  </si>
  <si>
    <t>07:4807:4822:0222:02</t>
  </si>
  <si>
    <t>14:0414:0419:0419:0419:0619:06</t>
  </si>
  <si>
    <t>07:5207:5216:3516:35</t>
  </si>
  <si>
    <t>08:0108:0118:4718:47</t>
  </si>
  <si>
    <t>07:4207:4220:0120:01</t>
  </si>
  <si>
    <t>08:2508:2519:3419:3419:3919:39</t>
  </si>
  <si>
    <t>08:0308:0319:1219:12</t>
  </si>
  <si>
    <t>08:0708:0718:4318:43</t>
  </si>
  <si>
    <t>07:5707:5723:5423:54</t>
  </si>
  <si>
    <t>07:5907:5919:5619:56</t>
  </si>
  <si>
    <t>07:3221:0321:06</t>
  </si>
  <si>
    <t>07:3922:00</t>
  </si>
  <si>
    <t>07:4221:0321:0321:03</t>
  </si>
  <si>
    <t>08:0018:21</t>
  </si>
  <si>
    <t>07:4717:11</t>
  </si>
  <si>
    <t>07:3319:24</t>
  </si>
  <si>
    <t>07:4807:4816:05</t>
  </si>
  <si>
    <t>07:4320:42</t>
  </si>
  <si>
    <t>07:3820:52</t>
  </si>
  <si>
    <t>07:3619:01</t>
  </si>
  <si>
    <t>07:4914:17</t>
  </si>
  <si>
    <t>07:4119:10</t>
  </si>
  <si>
    <t>07:4022:31</t>
  </si>
  <si>
    <t>07:3322:56</t>
  </si>
  <si>
    <t>07:3920:48</t>
  </si>
  <si>
    <t>07:4418:49</t>
  </si>
  <si>
    <t>07:3315:37</t>
  </si>
  <si>
    <t>07:1319:31</t>
  </si>
  <si>
    <t>07:2619:1219:12</t>
  </si>
  <si>
    <t>07:4818:37</t>
  </si>
  <si>
    <t>07:1517:18</t>
  </si>
  <si>
    <t>07:4119:45</t>
  </si>
  <si>
    <t>07:3719:56</t>
  </si>
  <si>
    <t>07:3718:03</t>
  </si>
  <si>
    <t>07:5217:05</t>
  </si>
  <si>
    <t>07:5716:42</t>
  </si>
  <si>
    <t>07:5617:15</t>
  </si>
  <si>
    <t>08:0016:25</t>
  </si>
  <si>
    <t>07:3616:10</t>
  </si>
  <si>
    <t>07:4016:23</t>
  </si>
  <si>
    <t>08:0216:01</t>
  </si>
  <si>
    <t>08:0017:09</t>
  </si>
  <si>
    <t>07:3815:35</t>
  </si>
  <si>
    <t>07:3517:0317:03</t>
  </si>
  <si>
    <t>07:3818:13</t>
  </si>
  <si>
    <t>07:2017:20</t>
  </si>
  <si>
    <t>07:3317:21</t>
  </si>
  <si>
    <t>07:3418:08</t>
  </si>
  <si>
    <t>07:3717:25</t>
  </si>
  <si>
    <t>07:4917:34</t>
  </si>
  <si>
    <t>07:3918:50</t>
  </si>
  <si>
    <t>08:1219:38</t>
  </si>
  <si>
    <t>08:0417:27</t>
  </si>
  <si>
    <t>07:5217:55</t>
  </si>
  <si>
    <t>07:5018:08</t>
  </si>
  <si>
    <t>08:0308:0318:0218:03</t>
  </si>
  <si>
    <t>07:4821:20</t>
  </si>
  <si>
    <t>07:3221:03</t>
  </si>
  <si>
    <t>07:3922:0022:00</t>
  </si>
  <si>
    <t>07:4221:07</t>
  </si>
  <si>
    <t>08:1719:0519:05</t>
  </si>
  <si>
    <t>07:4922:1222:12</t>
  </si>
  <si>
    <t>07:4222:1222:12</t>
  </si>
  <si>
    <t>08:0816:05</t>
  </si>
  <si>
    <t>07:4322:01</t>
  </si>
  <si>
    <t>06:5021:0521:05</t>
  </si>
  <si>
    <t>07:0007:0018:3718:37</t>
  </si>
  <si>
    <t>07:1207:1207:1221:0221:0221:0221:02</t>
  </si>
  <si>
    <t>07:2207:2207:2213:56</t>
  </si>
  <si>
    <t>07:5907:5916:0116:0116:0116:0116:01</t>
  </si>
  <si>
    <t>07:4007:4018:3218:3218:32</t>
  </si>
  <si>
    <t>07:4522:3022:3022:3022:30</t>
  </si>
  <si>
    <t>07:3407:3423:0023:00</t>
  </si>
  <si>
    <t>22:1522:16</t>
  </si>
  <si>
    <t>08:0108:0116:3216:32</t>
  </si>
  <si>
    <t>07:2707:2707:2719:0119:0119:01</t>
  </si>
  <si>
    <t>07:4419:44</t>
  </si>
  <si>
    <t>00:1308:0523:0023:00</t>
  </si>
  <si>
    <t>08:0318:5618:56</t>
  </si>
  <si>
    <t>07:4322:0322:03</t>
  </si>
  <si>
    <t>08:0508:0522:2022:20</t>
  </si>
  <si>
    <t>07:5422:1222:12</t>
  </si>
  <si>
    <t>07:2007:2019:1719:1719:1719:17</t>
  </si>
  <si>
    <t>07:4821:12</t>
  </si>
  <si>
    <t>07:1221:33</t>
  </si>
  <si>
    <t>07:2522:02</t>
  </si>
  <si>
    <t>07:2521:03</t>
  </si>
  <si>
    <t>07:2622:11</t>
  </si>
  <si>
    <t>07:3219:24</t>
  </si>
  <si>
    <t>07:3116:06</t>
  </si>
  <si>
    <t>07:2720:42</t>
  </si>
  <si>
    <t>07:2620:51</t>
  </si>
  <si>
    <t>07:2517:12</t>
  </si>
  <si>
    <t>07:2519:02</t>
  </si>
  <si>
    <t>07:2514:15</t>
  </si>
  <si>
    <t>07:2519:07</t>
  </si>
  <si>
    <t>07:3019:24</t>
  </si>
  <si>
    <t>07:3018:21</t>
  </si>
  <si>
    <t>07:2720:48</t>
  </si>
  <si>
    <t>07:3118:51</t>
  </si>
  <si>
    <t>07:2422:02</t>
  </si>
  <si>
    <t>07:2820:08</t>
  </si>
  <si>
    <t>07:1819:32</t>
  </si>
  <si>
    <t>07:2919:1619:16</t>
  </si>
  <si>
    <t>07:1818:37</t>
  </si>
  <si>
    <t>07:2917:19</t>
  </si>
  <si>
    <t>07:2519:46</t>
  </si>
  <si>
    <t>07:2819:56</t>
  </si>
  <si>
    <t>40</t>
  </si>
  <si>
    <t>urwatuluska</t>
  </si>
  <si>
    <t>07:5114:15</t>
  </si>
  <si>
    <t>08:0819:09</t>
  </si>
  <si>
    <t>08:0419:24</t>
  </si>
  <si>
    <t>07:5917:33</t>
  </si>
  <si>
    <t>07:4917:1517:15</t>
  </si>
  <si>
    <t>08:1708:1708:1718:0918:09</t>
  </si>
  <si>
    <t>07:5818:5918:59</t>
  </si>
  <si>
    <t>19:3119:31</t>
  </si>
  <si>
    <t>07:4307:4319:1219:12</t>
  </si>
  <si>
    <t>08:1008:1008:1018:5618:5618:5618:56</t>
  </si>
  <si>
    <t>08:1208:1217:1817:1817:1817:1822:0222:0222:0222:02</t>
  </si>
  <si>
    <t>08:1208:1219:4419:4419:45</t>
  </si>
  <si>
    <t>08:0908:0908:1008:1008:1017:1317:1317:1317:13</t>
  </si>
  <si>
    <t>41</t>
  </si>
  <si>
    <t>WAHYU</t>
  </si>
  <si>
    <t>08:1716:4516:45</t>
  </si>
  <si>
    <t>07:3316:5516:55</t>
  </si>
  <si>
    <t>07:3607:3617:0417:04</t>
  </si>
  <si>
    <t>07:3407:34</t>
  </si>
  <si>
    <t>07:3807:38</t>
  </si>
  <si>
    <t>07:3707:3717:1917:19</t>
  </si>
  <si>
    <t>07:3607:3616:5516:55</t>
  </si>
  <si>
    <t>07:2007:2016:46</t>
  </si>
  <si>
    <t>42</t>
  </si>
  <si>
    <t>SOFYAN</t>
  </si>
  <si>
    <t>08:0317:25</t>
  </si>
  <si>
    <t>07:0716:5717:00</t>
  </si>
  <si>
    <t>07:1216:02</t>
  </si>
  <si>
    <t>43</t>
  </si>
  <si>
    <t>ILYAS</t>
  </si>
  <si>
    <t>08:0417:24</t>
  </si>
  <si>
    <t>07:0817:00</t>
  </si>
  <si>
    <t>44</t>
  </si>
  <si>
    <t>REJEKISIREGAR</t>
  </si>
  <si>
    <t>45</t>
  </si>
  <si>
    <t>Kuswantoro</t>
  </si>
  <si>
    <t>08:1817:02</t>
  </si>
  <si>
    <t>08:0316:36</t>
  </si>
  <si>
    <t>08:46</t>
  </si>
  <si>
    <t>46</t>
  </si>
  <si>
    <t>Adejuanda</t>
  </si>
  <si>
    <t>09:2117:00</t>
  </si>
  <si>
    <t>07:0116:02</t>
  </si>
  <si>
    <t>07:1607:16</t>
  </si>
  <si>
    <t>47</t>
  </si>
  <si>
    <t>M.Arief.S</t>
  </si>
  <si>
    <t>09:2317:00</t>
  </si>
  <si>
    <t>07:0007:0016:0216:0216:02</t>
  </si>
  <si>
    <t>07:1507:1507:15</t>
  </si>
  <si>
    <t>48</t>
  </si>
  <si>
    <t>BAYU.P</t>
  </si>
  <si>
    <t>09:2517:00</t>
  </si>
  <si>
    <t>07:0007:0016:0216:02</t>
  </si>
  <si>
    <t>07:1507:15</t>
  </si>
  <si>
    <t>49</t>
  </si>
  <si>
    <t>ELIESER.S</t>
  </si>
  <si>
    <t>09:2709:2717:00</t>
  </si>
  <si>
    <t>08:17</t>
  </si>
  <si>
    <t>08:50</t>
  </si>
  <si>
    <t>18:42</t>
  </si>
  <si>
    <t>18:21</t>
  </si>
  <si>
    <t>21:36</t>
  </si>
  <si>
    <t>22:19</t>
  </si>
  <si>
    <t>18:06</t>
  </si>
  <si>
    <t>17:42</t>
  </si>
  <si>
    <t>19:18</t>
  </si>
  <si>
    <t>19:23</t>
  </si>
  <si>
    <t>19:34</t>
  </si>
  <si>
    <t>18:50</t>
  </si>
  <si>
    <t>17:46</t>
  </si>
  <si>
    <t>19:54</t>
  </si>
  <si>
    <t>18:17</t>
  </si>
  <si>
    <t>14:23</t>
  </si>
  <si>
    <t>17:35</t>
  </si>
  <si>
    <t>16:49</t>
  </si>
  <si>
    <t>15:56</t>
  </si>
  <si>
    <t>13:41</t>
  </si>
  <si>
    <t>10:00</t>
  </si>
  <si>
    <t>19:49</t>
  </si>
  <si>
    <t>20:02</t>
  </si>
  <si>
    <t>21:25</t>
  </si>
  <si>
    <t>18:43</t>
  </si>
  <si>
    <t>15:21</t>
  </si>
  <si>
    <t>16:52</t>
  </si>
  <si>
    <t>14:28</t>
  </si>
  <si>
    <t>20:14</t>
  </si>
  <si>
    <t>14:22</t>
  </si>
  <si>
    <t>12:32</t>
  </si>
  <si>
    <t>08:53</t>
  </si>
  <si>
    <t>09:53</t>
  </si>
  <si>
    <t>19:20</t>
  </si>
  <si>
    <t>22:01</t>
  </si>
  <si>
    <t>20:03</t>
  </si>
  <si>
    <t>20:56</t>
  </si>
  <si>
    <t>20:58</t>
  </si>
  <si>
    <t>21:12</t>
  </si>
  <si>
    <t>17:04</t>
  </si>
  <si>
    <t>17:23</t>
  </si>
  <si>
    <t>20:01</t>
  </si>
  <si>
    <t>16:14</t>
  </si>
  <si>
    <t>22:16</t>
  </si>
  <si>
    <t>00:13</t>
  </si>
  <si>
    <t>21:26</t>
  </si>
  <si>
    <t>20:59</t>
  </si>
  <si>
    <t>22:02</t>
  </si>
  <si>
    <t>21:06</t>
  </si>
  <si>
    <t>19:39</t>
  </si>
  <si>
    <t>22:12</t>
  </si>
  <si>
    <t>13:56</t>
  </si>
  <si>
    <t>22:28</t>
  </si>
  <si>
    <t>22:57</t>
  </si>
  <si>
    <t>19:43</t>
  </si>
  <si>
    <t>22:37</t>
  </si>
  <si>
    <t>18:56</t>
  </si>
  <si>
    <t>22:13</t>
  </si>
  <si>
    <t>08:05</t>
  </si>
  <si>
    <t>20:06</t>
  </si>
  <si>
    <t>22:15</t>
  </si>
  <si>
    <t>19:19</t>
  </si>
  <si>
    <t>13:11</t>
  </si>
  <si>
    <t>22:48</t>
  </si>
  <si>
    <t>19:11</t>
  </si>
  <si>
    <t>19:38</t>
  </si>
  <si>
    <t>23:00</t>
  </si>
  <si>
    <t>20:11</t>
  </si>
  <si>
    <t>21:19</t>
  </si>
  <si>
    <t>22:05</t>
  </si>
  <si>
    <t>20:30</t>
  </si>
  <si>
    <t>22:14</t>
  </si>
  <si>
    <t>21:04</t>
  </si>
  <si>
    <t>13:22</t>
  </si>
  <si>
    <t>19:12</t>
  </si>
  <si>
    <t>22:31</t>
  </si>
  <si>
    <t>23:02</t>
  </si>
  <si>
    <t>23:05</t>
  </si>
  <si>
    <t>20:00</t>
  </si>
  <si>
    <t>22:18</t>
  </si>
  <si>
    <t>07:10</t>
  </si>
  <si>
    <t>22:06</t>
  </si>
  <si>
    <t>20:31</t>
  </si>
  <si>
    <t>20:50</t>
  </si>
  <si>
    <t>20:05</t>
  </si>
  <si>
    <t>22:30</t>
  </si>
  <si>
    <t>18:29</t>
  </si>
  <si>
    <t>18:35</t>
  </si>
  <si>
    <t>22:20</t>
  </si>
  <si>
    <t>17:24</t>
  </si>
  <si>
    <t>19:40</t>
  </si>
  <si>
    <t>18:03</t>
  </si>
  <si>
    <t>17:15</t>
  </si>
  <si>
    <t>15:35</t>
  </si>
  <si>
    <t>22:00</t>
  </si>
  <si>
    <t>21:03</t>
  </si>
  <si>
    <t>19:24</t>
  </si>
  <si>
    <t>20:42</t>
  </si>
  <si>
    <t>20:52</t>
  </si>
  <si>
    <t>14:17</t>
  </si>
  <si>
    <t>22:56</t>
  </si>
  <si>
    <t>18:49</t>
  </si>
  <si>
    <t>19:31</t>
  </si>
  <si>
    <t>19:45</t>
  </si>
  <si>
    <t>06:50</t>
  </si>
  <si>
    <t>21:05</t>
  </si>
  <si>
    <t>21:02</t>
  </si>
  <si>
    <t>19:44</t>
  </si>
  <si>
    <t>14:35</t>
  </si>
  <si>
    <t>15:29</t>
  </si>
  <si>
    <t>19:35</t>
  </si>
  <si>
    <t>16:40</t>
  </si>
  <si>
    <t>15:07</t>
  </si>
  <si>
    <t>14:36</t>
  </si>
  <si>
    <t>15:30</t>
  </si>
  <si>
    <t>16:27</t>
  </si>
  <si>
    <t>16:41</t>
  </si>
  <si>
    <t>15:08</t>
  </si>
  <si>
    <t>08:36</t>
  </si>
  <si>
    <t>11:55</t>
  </si>
  <si>
    <t>14:32</t>
  </si>
  <si>
    <t>16:22</t>
  </si>
  <si>
    <t>13:19</t>
  </si>
  <si>
    <t>14:15</t>
  </si>
  <si>
    <t>06:52</t>
  </si>
  <si>
    <t>19:37</t>
  </si>
  <si>
    <t>19:32</t>
  </si>
  <si>
    <t>19:14</t>
  </si>
  <si>
    <t>05:30</t>
  </si>
  <si>
    <t>18:54</t>
  </si>
  <si>
    <t>14:04</t>
  </si>
  <si>
    <t>08:25</t>
  </si>
  <si>
    <t>18:47</t>
  </si>
  <si>
    <t>23:54</t>
  </si>
  <si>
    <t>20:53</t>
  </si>
  <si>
    <t>18:31</t>
  </si>
  <si>
    <t>22:49</t>
  </si>
  <si>
    <t>22:11</t>
  </si>
  <si>
    <t>20:51</t>
  </si>
  <si>
    <t>18:51</t>
  </si>
  <si>
    <t>20:08</t>
  </si>
  <si>
    <t>19:46</t>
  </si>
  <si>
    <t>18:09</t>
  </si>
  <si>
    <t>17:13</t>
  </si>
  <si>
    <t xml:space="preserve"> w</t>
  </si>
  <si>
    <t>K</t>
  </si>
  <si>
    <t>\</t>
  </si>
  <si>
    <t xml:space="preserve">  </t>
  </si>
  <si>
    <t>Duri, 28 Januari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</si>
</sst>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64" formatCode="_-* #,##0.00_-;\-* #,##0.00_-;_-* &quot;-&quot;_-;_-@_-"/>
    <numFmt numFmtId="165" formatCode="[$-13809]hh:mm;@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Arial Narrow"/>
      <family val="2"/>
    </font>
    <font>
      <sz val="12"/>
      <name val="宋体"/>
      <charset val="134"/>
    </font>
    <font>
      <b/>
      <sz val="20"/>
      <name val="Arial"/>
      <family val="2"/>
    </font>
    <font>
      <sz val="12"/>
      <name val="Arial"/>
      <family val="2"/>
    </font>
    <font>
      <sz val="11"/>
      <name val="Arial"/>
      <family val="2"/>
    </font>
    <font>
      <sz val="11"/>
      <color indexed="17"/>
      <name val="Arial"/>
      <family val="2"/>
    </font>
    <font>
      <sz val="12"/>
      <color indexed="8"/>
      <name val="Arial"/>
      <family val="2"/>
    </font>
    <font>
      <u/>
      <sz val="11"/>
      <color indexed="12"/>
      <name val="맑은 고딕"/>
      <family val="2"/>
    </font>
    <font>
      <sz val="8"/>
      <name val="Arial"/>
      <family val="2"/>
    </font>
    <font>
      <b/>
      <sz val="15"/>
      <color indexed="56"/>
      <name val="맑은 고딕"/>
      <family val="2"/>
    </font>
    <font>
      <sz val="11"/>
      <color indexed="8"/>
      <name val="맑은 고딕"/>
      <family val="2"/>
    </font>
    <font>
      <b/>
      <sz val="11"/>
      <color indexed="63"/>
      <name val="맑은 고딕"/>
      <family val="2"/>
    </font>
    <font>
      <sz val="11"/>
      <color indexed="9"/>
      <name val="맑은 고딕"/>
      <family val="2"/>
    </font>
    <font>
      <sz val="11"/>
      <color indexed="8"/>
      <name val="宋体"/>
      <charset val="134"/>
    </font>
    <font>
      <sz val="11"/>
      <color indexed="9"/>
      <name val="宋体"/>
      <charset val="134"/>
    </font>
    <font>
      <b/>
      <sz val="18"/>
      <color indexed="56"/>
      <name val="宋体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b/>
      <sz val="11"/>
      <color indexed="56"/>
      <name val="宋体"/>
      <charset val="134"/>
    </font>
    <font>
      <sz val="11"/>
      <color indexed="20"/>
      <name val="宋体"/>
      <charset val="134"/>
    </font>
    <font>
      <sz val="11"/>
      <color indexed="17"/>
      <name val="宋体"/>
      <charset val="134"/>
    </font>
    <font>
      <b/>
      <sz val="11"/>
      <color indexed="8"/>
      <name val="宋体"/>
      <charset val="134"/>
    </font>
    <font>
      <b/>
      <sz val="11"/>
      <color indexed="52"/>
      <name val="宋体"/>
      <charset val="134"/>
    </font>
    <font>
      <b/>
      <sz val="11"/>
      <color indexed="9"/>
      <name val="宋体"/>
      <charset val="134"/>
    </font>
    <font>
      <i/>
      <sz val="11"/>
      <color indexed="23"/>
      <name val="宋体"/>
      <charset val="134"/>
    </font>
    <font>
      <sz val="11"/>
      <color indexed="10"/>
      <name val="宋体"/>
      <charset val="134"/>
    </font>
    <font>
      <sz val="11"/>
      <color indexed="52"/>
      <name val="宋体"/>
      <charset val="134"/>
    </font>
    <font>
      <sz val="11"/>
      <color indexed="60"/>
      <name val="宋体"/>
      <charset val="134"/>
    </font>
    <font>
      <b/>
      <sz val="11"/>
      <color indexed="63"/>
      <name val="宋体"/>
      <charset val="134"/>
    </font>
    <font>
      <sz val="11"/>
      <color indexed="62"/>
      <name val="宋体"/>
      <charset val="134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1"/>
      <name val="Arial Black"/>
      <family val="2"/>
    </font>
    <font>
      <b/>
      <sz val="10"/>
      <color theme="1" tint="0.249977111117893"/>
      <name val="Arial"/>
      <family val="2"/>
    </font>
    <font>
      <b/>
      <sz val="10"/>
      <color theme="1"/>
      <name val="Arial"/>
      <family val="2"/>
    </font>
    <font>
      <b/>
      <sz val="10"/>
      <name val="Arial Narrow"/>
      <family val="2"/>
    </font>
    <font>
      <b/>
      <sz val="10"/>
      <color theme="0"/>
      <name val="Arial Narrow"/>
      <family val="2"/>
    </font>
    <font>
      <b/>
      <sz val="10"/>
      <color theme="1"/>
      <name val="Courier"/>
    </font>
    <font>
      <b/>
      <u/>
      <sz val="10"/>
      <color theme="1"/>
      <name val="Calibri"/>
      <family val="2"/>
      <scheme val="minor"/>
    </font>
    <font>
      <i/>
      <sz val="9"/>
      <color theme="1"/>
      <name val="Calibri"/>
      <family val="2"/>
    </font>
    <font>
      <i/>
      <sz val="9"/>
      <color theme="0"/>
      <name val="Calibri"/>
      <family val="2"/>
    </font>
    <font>
      <sz val="9"/>
      <color theme="1"/>
      <name val="Arial"/>
      <family val="2"/>
    </font>
    <font>
      <i/>
      <sz val="9"/>
      <name val="Calibri"/>
      <family val="2"/>
    </font>
  </fonts>
  <fills count="3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C000"/>
        <bgColor indexed="64"/>
      </patternFill>
    </fill>
  </fills>
  <borders count="7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7"/>
      </left>
      <right/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59">
    <xf numFmtId="0" fontId="0" fillId="0" borderId="0"/>
    <xf numFmtId="41" fontId="2" fillId="0" borderId="0" applyFont="0" applyFill="0" applyBorder="0" applyAlignment="0" applyProtection="0"/>
    <xf numFmtId="0" fontId="5" fillId="0" borderId="0">
      <alignment vertical="center"/>
    </xf>
    <xf numFmtId="0" fontId="11" fillId="0" borderId="0" applyNumberFormat="0" applyFill="0" applyBorder="0" applyAlignment="0" applyProtection="0">
      <alignment vertical="top"/>
      <protection locked="0"/>
    </xf>
    <xf numFmtId="0" fontId="14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32" applyNumberFormat="0" applyFill="0" applyAlignment="0" applyProtection="0">
      <alignment vertical="center"/>
    </xf>
    <xf numFmtId="0" fontId="21" fillId="0" borderId="33" applyNumberFormat="0" applyFill="0" applyAlignment="0" applyProtection="0">
      <alignment vertical="center"/>
    </xf>
    <xf numFmtId="0" fontId="22" fillId="0" borderId="34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0" borderId="35" applyNumberFormat="0" applyFill="0" applyAlignment="0" applyProtection="0">
      <alignment vertical="center"/>
    </xf>
    <xf numFmtId="0" fontId="26" fillId="23" borderId="36" applyNumberFormat="0" applyAlignment="0" applyProtection="0">
      <alignment vertical="center"/>
    </xf>
    <xf numFmtId="0" fontId="27" fillId="24" borderId="37" applyNumberForma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38" applyNumberFormat="0" applyFill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2" fillId="23" borderId="39" applyNumberFormat="0" applyAlignment="0" applyProtection="0">
      <alignment vertical="center"/>
    </xf>
    <xf numFmtId="0" fontId="33" fillId="12" borderId="36" applyNumberFormat="0" applyAlignment="0" applyProtection="0">
      <alignment vertical="center"/>
    </xf>
    <xf numFmtId="0" fontId="5" fillId="28" borderId="40" applyNumberFormat="0" applyFont="0" applyAlignment="0" applyProtection="0">
      <alignment vertical="center"/>
    </xf>
    <xf numFmtId="0" fontId="13" fillId="0" borderId="32" applyNumberFormat="0" applyFill="0" applyAlignment="0" applyProtection="0">
      <alignment vertical="center"/>
    </xf>
    <xf numFmtId="0" fontId="15" fillId="23" borderId="39" applyNumberFormat="0" applyAlignment="0" applyProtection="0">
      <alignment vertical="center"/>
    </xf>
    <xf numFmtId="0" fontId="2" fillId="0" borderId="0"/>
    <xf numFmtId="0" fontId="25" fillId="0" borderId="55" applyNumberFormat="0" applyFill="0" applyAlignment="0" applyProtection="0">
      <alignment vertical="center"/>
    </xf>
    <xf numFmtId="0" fontId="26" fillId="23" borderId="56" applyNumberFormat="0" applyAlignment="0" applyProtection="0">
      <alignment vertical="center"/>
    </xf>
    <xf numFmtId="0" fontId="32" fillId="23" borderId="57" applyNumberFormat="0" applyAlignment="0" applyProtection="0">
      <alignment vertical="center"/>
    </xf>
    <xf numFmtId="0" fontId="33" fillId="12" borderId="56" applyNumberFormat="0" applyAlignment="0" applyProtection="0">
      <alignment vertical="center"/>
    </xf>
    <xf numFmtId="0" fontId="5" fillId="28" borderId="58" applyNumberFormat="0" applyFont="0" applyAlignment="0" applyProtection="0">
      <alignment vertical="center"/>
    </xf>
    <xf numFmtId="0" fontId="15" fillId="23" borderId="57" applyNumberFormat="0" applyAlignment="0" applyProtection="0">
      <alignment vertical="center"/>
    </xf>
    <xf numFmtId="0" fontId="1" fillId="0" borderId="0"/>
  </cellStyleXfs>
  <cellXfs count="226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7" fillId="0" borderId="0" xfId="2" applyFont="1">
      <alignment vertical="center"/>
    </xf>
    <xf numFmtId="0" fontId="8" fillId="5" borderId="19" xfId="2" applyFont="1" applyFill="1" applyBorder="1">
      <alignment vertical="center"/>
    </xf>
    <xf numFmtId="0" fontId="9" fillId="5" borderId="0" xfId="2" applyFont="1" applyFill="1">
      <alignment vertical="center"/>
    </xf>
    <xf numFmtId="0" fontId="7" fillId="0" borderId="21" xfId="2" applyFont="1" applyBorder="1" applyAlignment="1">
      <alignment horizontal="center" vertical="center"/>
    </xf>
    <xf numFmtId="0" fontId="10" fillId="0" borderId="22" xfId="2" applyFont="1" applyBorder="1" applyAlignment="1">
      <alignment horizontal="left" vertical="center"/>
    </xf>
    <xf numFmtId="0" fontId="10" fillId="0" borderId="0" xfId="2" applyFont="1" applyAlignment="1">
      <alignment horizontal="left" vertical="center"/>
    </xf>
    <xf numFmtId="0" fontId="8" fillId="0" borderId="0" xfId="3" applyFont="1" applyFill="1" applyBorder="1" applyAlignment="1" applyProtection="1">
      <alignment horizontal="left" vertical="center"/>
    </xf>
    <xf numFmtId="0" fontId="10" fillId="0" borderId="23" xfId="2" applyFont="1" applyBorder="1" applyAlignment="1">
      <alignment horizontal="left" vertical="center"/>
    </xf>
    <xf numFmtId="0" fontId="12" fillId="0" borderId="21" xfId="2" applyFont="1" applyBorder="1" applyAlignment="1">
      <alignment vertical="center" wrapText="1"/>
    </xf>
    <xf numFmtId="0" fontId="7" fillId="4" borderId="21" xfId="2" applyFont="1" applyFill="1" applyBorder="1" applyAlignment="1">
      <alignment horizontal="center" vertical="center"/>
    </xf>
    <xf numFmtId="0" fontId="7" fillId="0" borderId="24" xfId="2" applyFont="1" applyBorder="1" applyAlignment="1">
      <alignment horizontal="center" vertical="center"/>
    </xf>
    <xf numFmtId="0" fontId="7" fillId="4" borderId="24" xfId="2" applyFont="1" applyFill="1" applyBorder="1" applyAlignment="1">
      <alignment horizontal="center" vertical="center"/>
    </xf>
    <xf numFmtId="0" fontId="7" fillId="0" borderId="2" xfId="2" applyFont="1" applyBorder="1">
      <alignment vertical="center"/>
    </xf>
    <xf numFmtId="20" fontId="12" fillId="0" borderId="2" xfId="2" applyNumberFormat="1" applyFont="1" applyBorder="1" applyAlignment="1">
      <alignment vertical="center" wrapText="1"/>
    </xf>
    <xf numFmtId="0" fontId="12" fillId="0" borderId="2" xfId="2" applyFont="1" applyBorder="1" applyAlignment="1">
      <alignment vertical="center" wrapText="1"/>
    </xf>
    <xf numFmtId="0" fontId="12" fillId="4" borderId="2" xfId="2" applyFont="1" applyFill="1" applyBorder="1" applyAlignment="1">
      <alignment vertical="center" wrapText="1"/>
    </xf>
    <xf numFmtId="20" fontId="12" fillId="4" borderId="2" xfId="2" applyNumberFormat="1" applyFont="1" applyFill="1" applyBorder="1" applyAlignment="1">
      <alignment vertical="center" wrapText="1"/>
    </xf>
    <xf numFmtId="0" fontId="7" fillId="0" borderId="2" xfId="2" quotePrefix="1" applyFont="1" applyBorder="1">
      <alignment vertical="center"/>
    </xf>
    <xf numFmtId="0" fontId="8" fillId="5" borderId="0" xfId="2" applyFont="1" applyFill="1">
      <alignment vertical="center"/>
    </xf>
    <xf numFmtId="0" fontId="35" fillId="0" borderId="7" xfId="0" applyFont="1" applyBorder="1" applyAlignment="1">
      <alignment horizontal="center" vertical="center"/>
    </xf>
    <xf numFmtId="49" fontId="35" fillId="0" borderId="7" xfId="1" applyNumberFormat="1" applyFont="1" applyFill="1" applyBorder="1" applyAlignment="1">
      <alignment horizontal="center" vertical="center"/>
    </xf>
    <xf numFmtId="164" fontId="35" fillId="0" borderId="7" xfId="1" applyNumberFormat="1" applyFont="1" applyFill="1" applyBorder="1" applyAlignment="1">
      <alignment horizontal="center" vertical="center"/>
    </xf>
    <xf numFmtId="49" fontId="34" fillId="3" borderId="7" xfId="1" applyNumberFormat="1" applyFont="1" applyFill="1" applyBorder="1" applyAlignment="1">
      <alignment horizontal="center" vertical="center"/>
    </xf>
    <xf numFmtId="0" fontId="36" fillId="6" borderId="7" xfId="0" applyFont="1" applyFill="1" applyBorder="1" applyAlignment="1">
      <alignment horizontal="center" vertical="center"/>
    </xf>
    <xf numFmtId="0" fontId="37" fillId="0" borderId="0" xfId="0" applyFont="1" applyAlignment="1">
      <alignment vertical="center"/>
    </xf>
    <xf numFmtId="0" fontId="40" fillId="0" borderId="0" xfId="0" applyFont="1" applyAlignment="1">
      <alignment vertical="center"/>
    </xf>
    <xf numFmtId="0" fontId="37" fillId="0" borderId="0" xfId="0" applyFont="1" applyAlignment="1">
      <alignment horizontal="right" vertical="center"/>
    </xf>
    <xf numFmtId="0" fontId="37" fillId="2" borderId="0" xfId="0" applyFont="1" applyFill="1" applyAlignment="1">
      <alignment vertical="center"/>
    </xf>
    <xf numFmtId="0" fontId="4" fillId="0" borderId="9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2" fillId="0" borderId="6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2" fillId="3" borderId="1" xfId="0" applyFont="1" applyFill="1" applyBorder="1" applyAlignment="1">
      <alignment horizontal="center" vertical="center" wrapText="1"/>
    </xf>
    <xf numFmtId="0" fontId="38" fillId="0" borderId="44" xfId="0" applyFont="1" applyBorder="1" applyAlignment="1">
      <alignment horizontal="center" vertical="center"/>
    </xf>
    <xf numFmtId="0" fontId="37" fillId="0" borderId="48" xfId="0" applyFont="1" applyBorder="1" applyAlignment="1">
      <alignment vertical="center"/>
    </xf>
    <xf numFmtId="0" fontId="37" fillId="0" borderId="0" xfId="0" applyFont="1" applyBorder="1" applyAlignment="1">
      <alignment vertical="center"/>
    </xf>
    <xf numFmtId="0" fontId="42" fillId="0" borderId="1" xfId="0" applyFont="1" applyBorder="1" applyAlignment="1">
      <alignment vertical="center"/>
    </xf>
    <xf numFmtId="0" fontId="37" fillId="0" borderId="2" xfId="0" applyFont="1" applyBorder="1" applyAlignment="1">
      <alignment horizontal="center" vertical="center"/>
    </xf>
    <xf numFmtId="0" fontId="42" fillId="0" borderId="44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7" fillId="0" borderId="12" xfId="0" applyFont="1" applyBorder="1" applyAlignment="1">
      <alignment vertical="center"/>
    </xf>
    <xf numFmtId="0" fontId="3" fillId="0" borderId="44" xfId="0" applyFont="1" applyBorder="1" applyAlignment="1">
      <alignment vertical="center"/>
    </xf>
    <xf numFmtId="0" fontId="37" fillId="0" borderId="8" xfId="0" applyFont="1" applyBorder="1" applyAlignment="1">
      <alignment vertical="center"/>
    </xf>
    <xf numFmtId="0" fontId="37" fillId="0" borderId="0" xfId="0" applyFont="1" applyAlignment="1">
      <alignment horizontal="center" vertical="center"/>
    </xf>
    <xf numFmtId="0" fontId="38" fillId="0" borderId="2" xfId="0" applyFont="1" applyBorder="1" applyAlignment="1">
      <alignment vertical="center"/>
    </xf>
    <xf numFmtId="0" fontId="38" fillId="0" borderId="0" xfId="0" applyFont="1" applyAlignment="1">
      <alignment vertical="center"/>
    </xf>
    <xf numFmtId="0" fontId="38" fillId="0" borderId="0" xfId="0" applyFont="1" applyAlignment="1">
      <alignment horizontal="center" vertical="center"/>
    </xf>
    <xf numFmtId="0" fontId="37" fillId="0" borderId="4" xfId="0" applyFont="1" applyBorder="1" applyAlignment="1">
      <alignment horizontal="left" vertical="center"/>
    </xf>
    <xf numFmtId="0" fontId="37" fillId="0" borderId="3" xfId="0" applyFont="1" applyBorder="1" applyAlignment="1">
      <alignment horizontal="left" vertical="center"/>
    </xf>
    <xf numFmtId="0" fontId="37" fillId="0" borderId="10" xfId="0" applyFont="1" applyBorder="1" applyAlignment="1">
      <alignment horizontal="center" vertical="center"/>
    </xf>
    <xf numFmtId="0" fontId="37" fillId="0" borderId="0" xfId="0" applyFont="1" applyAlignment="1">
      <alignment horizontal="left" vertical="center"/>
    </xf>
    <xf numFmtId="0" fontId="37" fillId="0" borderId="3" xfId="0" applyFont="1" applyBorder="1" applyAlignment="1">
      <alignment horizontal="center" vertical="center"/>
    </xf>
    <xf numFmtId="0" fontId="45" fillId="0" borderId="0" xfId="0" applyFont="1" applyAlignment="1">
      <alignment horizontal="center" vertical="center"/>
    </xf>
    <xf numFmtId="0" fontId="4" fillId="0" borderId="47" xfId="0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0" fontId="42" fillId="0" borderId="8" xfId="0" applyFont="1" applyBorder="1" applyAlignment="1">
      <alignment vertical="center"/>
    </xf>
    <xf numFmtId="0" fontId="34" fillId="0" borderId="6" xfId="1" applyNumberFormat="1" applyFont="1" applyFill="1" applyBorder="1" applyAlignment="1">
      <alignment horizontal="center" vertical="center"/>
    </xf>
    <xf numFmtId="0" fontId="34" fillId="3" borderId="6" xfId="1" applyNumberFormat="1" applyFont="1" applyFill="1" applyBorder="1" applyAlignment="1">
      <alignment horizontal="center" vertical="center"/>
    </xf>
    <xf numFmtId="41" fontId="34" fillId="0" borderId="14" xfId="1" applyFont="1" applyBorder="1" applyAlignment="1">
      <alignment horizontal="center" vertical="center"/>
    </xf>
    <xf numFmtId="41" fontId="34" fillId="0" borderId="2" xfId="1" applyFont="1" applyBorder="1" applyAlignment="1">
      <alignment horizontal="center" vertical="center"/>
    </xf>
    <xf numFmtId="41" fontId="34" fillId="0" borderId="6" xfId="1" applyFont="1" applyBorder="1" applyAlignment="1">
      <alignment horizontal="center" vertical="center"/>
    </xf>
    <xf numFmtId="41" fontId="34" fillId="0" borderId="43" xfId="1" applyFont="1" applyBorder="1" applyAlignment="1">
      <alignment horizontal="center" vertical="center"/>
    </xf>
    <xf numFmtId="0" fontId="35" fillId="3" borderId="46" xfId="0" applyFont="1" applyFill="1" applyBorder="1" applyAlignment="1">
      <alignment horizontal="center" vertical="center"/>
    </xf>
    <xf numFmtId="0" fontId="35" fillId="3" borderId="4" xfId="0" applyFont="1" applyFill="1" applyBorder="1" applyAlignment="1">
      <alignment horizontal="center" vertical="center"/>
    </xf>
    <xf numFmtId="0" fontId="35" fillId="3" borderId="9" xfId="0" applyFont="1" applyFill="1" applyBorder="1" applyAlignment="1">
      <alignment horizontal="center" vertical="center"/>
    </xf>
    <xf numFmtId="0" fontId="35" fillId="3" borderId="42" xfId="0" applyFont="1" applyFill="1" applyBorder="1" applyAlignment="1">
      <alignment horizontal="center" vertical="center"/>
    </xf>
    <xf numFmtId="165" fontId="46" fillId="3" borderId="2" xfId="51" applyNumberFormat="1" applyFont="1" applyFill="1" applyBorder="1" applyAlignment="1">
      <alignment horizontal="center" vertical="center"/>
    </xf>
    <xf numFmtId="0" fontId="43" fillId="6" borderId="8" xfId="0" applyFont="1" applyFill="1" applyBorder="1" applyAlignment="1">
      <alignment horizontal="center" vertical="center" textRotation="180" wrapText="1"/>
    </xf>
    <xf numFmtId="0" fontId="42" fillId="3" borderId="8" xfId="0" applyFont="1" applyFill="1" applyBorder="1" applyAlignment="1">
      <alignment horizontal="center" vertical="center" textRotation="180" wrapText="1"/>
    </xf>
    <xf numFmtId="0" fontId="42" fillId="0" borderId="8" xfId="0" applyFont="1" applyBorder="1" applyAlignment="1">
      <alignment horizontal="center" vertical="center" textRotation="180" wrapText="1"/>
    </xf>
    <xf numFmtId="165" fontId="47" fillId="6" borderId="2" xfId="51" applyNumberFormat="1" applyFont="1" applyFill="1" applyBorder="1" applyAlignment="1">
      <alignment horizontal="center" vertical="center"/>
    </xf>
    <xf numFmtId="165" fontId="47" fillId="6" borderId="14" xfId="51" applyNumberFormat="1" applyFont="1" applyFill="1" applyBorder="1" applyAlignment="1">
      <alignment horizontal="center" vertical="center"/>
    </xf>
    <xf numFmtId="0" fontId="43" fillId="6" borderId="1" xfId="0" applyFont="1" applyFill="1" applyBorder="1" applyAlignment="1">
      <alignment horizontal="center" vertical="center" wrapText="1"/>
    </xf>
    <xf numFmtId="165" fontId="46" fillId="3" borderId="14" xfId="51" applyNumberFormat="1" applyFont="1" applyFill="1" applyBorder="1" applyAlignment="1">
      <alignment horizontal="center" vertical="center"/>
    </xf>
    <xf numFmtId="165" fontId="46" fillId="0" borderId="2" xfId="51" applyNumberFormat="1" applyFont="1" applyBorder="1" applyAlignment="1">
      <alignment horizontal="center" vertical="center"/>
    </xf>
    <xf numFmtId="165" fontId="46" fillId="0" borderId="14" xfId="51" applyNumberFormat="1" applyFont="1" applyBorder="1" applyAlignment="1">
      <alignment horizontal="center" vertical="center"/>
    </xf>
    <xf numFmtId="41" fontId="35" fillId="0" borderId="6" xfId="1" applyFont="1" applyFill="1" applyBorder="1" applyAlignment="1">
      <alignment horizontal="center" vertical="center"/>
    </xf>
    <xf numFmtId="41" fontId="35" fillId="0" borderId="6" xfId="1" applyFont="1" applyBorder="1" applyAlignment="1">
      <alignment horizontal="center" vertical="center"/>
    </xf>
    <xf numFmtId="41" fontId="36" fillId="6" borderId="6" xfId="1" applyFont="1" applyFill="1" applyBorder="1" applyAlignment="1">
      <alignment horizontal="center" vertical="center"/>
    </xf>
    <xf numFmtId="0" fontId="36" fillId="6" borderId="6" xfId="1" applyNumberFormat="1" applyFont="1" applyFill="1" applyBorder="1" applyAlignment="1">
      <alignment horizontal="center" vertical="center"/>
    </xf>
    <xf numFmtId="0" fontId="45" fillId="0" borderId="0" xfId="0" applyFont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38" fillId="0" borderId="4" xfId="0" applyFont="1" applyBorder="1" applyAlignment="1">
      <alignment vertical="center"/>
    </xf>
    <xf numFmtId="0" fontId="38" fillId="0" borderId="63" xfId="0" applyFont="1" applyBorder="1" applyAlignment="1">
      <alignment vertical="center"/>
    </xf>
    <xf numFmtId="0" fontId="38" fillId="0" borderId="64" xfId="0" applyFont="1" applyBorder="1" applyAlignment="1">
      <alignment vertical="center"/>
    </xf>
    <xf numFmtId="0" fontId="37" fillId="0" borderId="65" xfId="0" applyFont="1" applyBorder="1" applyAlignment="1">
      <alignment horizontal="left" vertical="center"/>
    </xf>
    <xf numFmtId="0" fontId="37" fillId="0" borderId="63" xfId="0" applyFont="1" applyBorder="1" applyAlignment="1">
      <alignment horizontal="left" vertical="center"/>
    </xf>
    <xf numFmtId="0" fontId="38" fillId="0" borderId="63" xfId="0" applyFont="1" applyBorder="1" applyAlignment="1">
      <alignment horizontal="center" vertical="center"/>
    </xf>
    <xf numFmtId="0" fontId="38" fillId="0" borderId="64" xfId="0" applyFont="1" applyBorder="1" applyAlignment="1">
      <alignment horizontal="center" vertical="center"/>
    </xf>
    <xf numFmtId="0" fontId="37" fillId="0" borderId="66" xfId="0" applyFont="1" applyBorder="1" applyAlignment="1">
      <alignment horizontal="left" vertical="center"/>
    </xf>
    <xf numFmtId="0" fontId="37" fillId="0" borderId="63" xfId="0" applyFont="1" applyBorder="1" applyAlignment="1">
      <alignment horizontal="right" vertical="center"/>
    </xf>
    <xf numFmtId="0" fontId="37" fillId="0" borderId="64" xfId="0" applyFont="1" applyBorder="1" applyAlignment="1">
      <alignment vertical="center"/>
    </xf>
    <xf numFmtId="0" fontId="44" fillId="0" borderId="63" xfId="0" quotePrefix="1" applyFont="1" applyBorder="1" applyAlignment="1">
      <alignment horizontal="left" vertical="center"/>
    </xf>
    <xf numFmtId="0" fontId="38" fillId="0" borderId="65" xfId="0" applyFont="1" applyBorder="1" applyAlignment="1">
      <alignment vertical="center"/>
    </xf>
    <xf numFmtId="0" fontId="37" fillId="0" borderId="48" xfId="0" applyFont="1" applyBorder="1" applyAlignment="1">
      <alignment horizontal="center" vertical="center"/>
    </xf>
    <xf numFmtId="0" fontId="37" fillId="0" borderId="48" xfId="0" applyFont="1" applyBorder="1" applyAlignment="1">
      <alignment horizontal="right" vertical="center"/>
    </xf>
    <xf numFmtId="0" fontId="35" fillId="30" borderId="7" xfId="0" applyFont="1" applyFill="1" applyBorder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35" fillId="3" borderId="67" xfId="0" applyFont="1" applyFill="1" applyBorder="1" applyAlignment="1">
      <alignment horizontal="center" vertical="center"/>
    </xf>
    <xf numFmtId="41" fontId="34" fillId="0" borderId="68" xfId="1" applyFont="1" applyBorder="1" applyAlignment="1">
      <alignment horizontal="center" vertical="center"/>
    </xf>
    <xf numFmtId="0" fontId="37" fillId="0" borderId="1" xfId="0" applyFont="1" applyBorder="1" applyAlignment="1">
      <alignment vertical="center"/>
    </xf>
    <xf numFmtId="164" fontId="35" fillId="0" borderId="1" xfId="1" applyNumberFormat="1" applyFont="1" applyFill="1" applyBorder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35" fillId="3" borderId="65" xfId="0" applyFont="1" applyFill="1" applyBorder="1" applyAlignment="1">
      <alignment horizontal="center" vertical="center"/>
    </xf>
    <xf numFmtId="41" fontId="34" fillId="0" borderId="66" xfId="1" applyFont="1" applyBorder="1" applyAlignment="1">
      <alignment horizontal="center" vertical="center"/>
    </xf>
    <xf numFmtId="0" fontId="37" fillId="0" borderId="0" xfId="0" applyFont="1" applyAlignment="1">
      <alignment horizontal="center" vertical="top"/>
    </xf>
    <xf numFmtId="0" fontId="0" fillId="29" borderId="2" xfId="0" applyFill="1" applyBorder="1"/>
    <xf numFmtId="49" fontId="34" fillId="0" borderId="7" xfId="1" applyNumberFormat="1" applyFont="1" applyFill="1" applyBorder="1" applyAlignment="1">
      <alignment horizontal="center" vertical="center"/>
    </xf>
    <xf numFmtId="165" fontId="46" fillId="0" borderId="2" xfId="51" applyNumberFormat="1" applyFont="1" applyFill="1" applyBorder="1" applyAlignment="1">
      <alignment horizontal="center" vertical="center"/>
    </xf>
    <xf numFmtId="165" fontId="46" fillId="0" borderId="14" xfId="51" applyNumberFormat="1" applyFont="1" applyFill="1" applyBorder="1" applyAlignment="1">
      <alignment horizontal="center" vertical="center"/>
    </xf>
    <xf numFmtId="0" fontId="42" fillId="0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12" fillId="0" borderId="71" xfId="2" applyFont="1" applyBorder="1" applyAlignment="1">
      <alignment vertical="center" wrapText="1"/>
    </xf>
    <xf numFmtId="49" fontId="35" fillId="0" borderId="1" xfId="1" applyNumberFormat="1" applyFont="1" applyFill="1" applyBorder="1" applyAlignment="1">
      <alignment horizontal="center" vertical="center"/>
    </xf>
    <xf numFmtId="165" fontId="46" fillId="0" borderId="1" xfId="51" applyNumberFormat="1" applyFont="1" applyBorder="1" applyAlignment="1">
      <alignment horizontal="center" vertical="center"/>
    </xf>
    <xf numFmtId="165" fontId="46" fillId="0" borderId="44" xfId="51" applyNumberFormat="1" applyFont="1" applyBorder="1" applyAlignment="1">
      <alignment horizontal="center" vertical="center"/>
    </xf>
    <xf numFmtId="0" fontId="35" fillId="0" borderId="8" xfId="1" applyNumberFormat="1" applyFont="1" applyFill="1" applyBorder="1" applyAlignment="1">
      <alignment horizontal="center" vertical="center"/>
    </xf>
    <xf numFmtId="0" fontId="42" fillId="0" borderId="8" xfId="0" applyFont="1" applyBorder="1" applyAlignment="1">
      <alignment horizontal="center" vertical="center" wrapText="1"/>
    </xf>
    <xf numFmtId="0" fontId="35" fillId="0" borderId="1" xfId="1" applyNumberFormat="1" applyFont="1" applyFill="1" applyBorder="1" applyAlignment="1">
      <alignment horizontal="center" vertical="center"/>
    </xf>
    <xf numFmtId="41" fontId="35" fillId="0" borderId="8" xfId="1" applyFont="1" applyFill="1" applyBorder="1" applyAlignment="1">
      <alignment horizontal="center" vertical="center"/>
    </xf>
    <xf numFmtId="0" fontId="34" fillId="0" borderId="8" xfId="1" applyNumberFormat="1" applyFont="1" applyFill="1" applyBorder="1" applyAlignment="1">
      <alignment horizontal="center" vertical="center"/>
    </xf>
    <xf numFmtId="0" fontId="34" fillId="0" borderId="1" xfId="1" applyNumberFormat="1" applyFont="1" applyFill="1" applyBorder="1" applyAlignment="1">
      <alignment horizontal="center" vertical="center"/>
    </xf>
    <xf numFmtId="41" fontId="35" fillId="0" borderId="1" xfId="1" applyFont="1" applyFill="1" applyBorder="1" applyAlignment="1">
      <alignment horizontal="center" vertical="center"/>
    </xf>
    <xf numFmtId="41" fontId="35" fillId="0" borderId="1" xfId="1" applyFont="1" applyBorder="1" applyAlignment="1">
      <alignment horizontal="center" vertical="center"/>
    </xf>
    <xf numFmtId="0" fontId="12" fillId="0" borderId="59" xfId="2" applyFont="1" applyBorder="1" applyAlignment="1">
      <alignment vertical="center" wrapText="1"/>
    </xf>
    <xf numFmtId="0" fontId="8" fillId="5" borderId="19" xfId="2" applyFont="1" applyFill="1" applyBorder="1" applyAlignment="1">
      <alignment vertical="center"/>
    </xf>
    <xf numFmtId="0" fontId="9" fillId="5" borderId="0" xfId="2" applyFont="1" applyFill="1" applyBorder="1" applyAlignment="1">
      <alignment vertical="center"/>
    </xf>
    <xf numFmtId="0" fontId="8" fillId="5" borderId="0" xfId="2" applyFont="1" applyFill="1" applyBorder="1" applyAlignment="1">
      <alignment vertical="center"/>
    </xf>
    <xf numFmtId="0" fontId="7" fillId="0" borderId="59" xfId="2" applyFont="1" applyBorder="1" applyAlignment="1">
      <alignment horizontal="center" vertical="center"/>
    </xf>
    <xf numFmtId="0" fontId="4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35" fillId="0" borderId="7" xfId="0" applyFont="1" applyFill="1" applyBorder="1" applyAlignment="1">
      <alignment horizontal="center" vertical="center"/>
    </xf>
    <xf numFmtId="0" fontId="34" fillId="0" borderId="7" xfId="0" applyFont="1" applyFill="1" applyBorder="1" applyAlignment="1">
      <alignment horizontal="center" vertical="center"/>
    </xf>
    <xf numFmtId="41" fontId="34" fillId="0" borderId="6" xfId="1" applyFont="1" applyFill="1" applyBorder="1" applyAlignment="1">
      <alignment horizontal="center" vertical="center"/>
    </xf>
    <xf numFmtId="165" fontId="49" fillId="0" borderId="14" xfId="51" applyNumberFormat="1" applyFont="1" applyFill="1" applyBorder="1" applyAlignment="1">
      <alignment horizontal="center" vertical="center"/>
    </xf>
    <xf numFmtId="165" fontId="49" fillId="0" borderId="2" xfId="51" applyNumberFormat="1" applyFont="1" applyFill="1" applyBorder="1" applyAlignment="1">
      <alignment horizontal="center" vertical="center"/>
    </xf>
    <xf numFmtId="0" fontId="3" fillId="0" borderId="48" xfId="0" applyFont="1" applyBorder="1" applyAlignment="1">
      <alignment horizontal="right" vertical="center"/>
    </xf>
    <xf numFmtId="0" fontId="3" fillId="0" borderId="0" xfId="0" applyFont="1" applyAlignment="1">
      <alignment vertical="center"/>
    </xf>
    <xf numFmtId="2" fontId="35" fillId="30" borderId="7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35" fillId="0" borderId="6" xfId="1" applyNumberFormat="1" applyFont="1" applyFill="1" applyBorder="1" applyAlignment="1">
      <alignment horizontal="center" vertical="center"/>
    </xf>
    <xf numFmtId="164" fontId="34" fillId="0" borderId="7" xfId="1" applyNumberFormat="1" applyFont="1" applyFill="1" applyBorder="1" applyAlignment="1">
      <alignment horizontal="center" vertical="center"/>
    </xf>
    <xf numFmtId="165" fontId="49" fillId="3" borderId="14" xfId="51" applyNumberFormat="1" applyFont="1" applyFill="1" applyBorder="1" applyAlignment="1">
      <alignment horizontal="center" vertical="center"/>
    </xf>
    <xf numFmtId="165" fontId="49" fillId="6" borderId="14" xfId="51" applyNumberFormat="1" applyFont="1" applyFill="1" applyBorder="1" applyAlignment="1">
      <alignment horizontal="center" vertical="center"/>
    </xf>
    <xf numFmtId="165" fontId="49" fillId="0" borderId="14" xfId="51" applyNumberFormat="1" applyFont="1" applyBorder="1" applyAlignment="1">
      <alignment horizontal="center" vertical="center"/>
    </xf>
    <xf numFmtId="165" fontId="49" fillId="3" borderId="2" xfId="51" applyNumberFormat="1" applyFont="1" applyFill="1" applyBorder="1" applyAlignment="1">
      <alignment horizontal="center" vertical="center"/>
    </xf>
    <xf numFmtId="165" fontId="49" fillId="6" borderId="2" xfId="51" applyNumberFormat="1" applyFont="1" applyFill="1" applyBorder="1" applyAlignment="1">
      <alignment horizontal="center" vertical="center"/>
    </xf>
    <xf numFmtId="165" fontId="49" fillId="0" borderId="2" xfId="51" applyNumberFormat="1" applyFont="1" applyBorder="1" applyAlignment="1">
      <alignment horizontal="center" vertical="center"/>
    </xf>
    <xf numFmtId="0" fontId="34" fillId="6" borderId="7" xfId="0" applyFont="1" applyFill="1" applyBorder="1" applyAlignment="1">
      <alignment horizontal="center" vertical="center"/>
    </xf>
    <xf numFmtId="41" fontId="34" fillId="6" borderId="6" xfId="1" applyFont="1" applyFill="1" applyBorder="1" applyAlignment="1">
      <alignment horizontal="center" vertical="center"/>
    </xf>
    <xf numFmtId="0" fontId="34" fillId="6" borderId="6" xfId="1" applyNumberFormat="1" applyFont="1" applyFill="1" applyBorder="1" applyAlignment="1">
      <alignment horizontal="center" vertical="center"/>
    </xf>
    <xf numFmtId="0" fontId="34" fillId="30" borderId="7" xfId="0" applyFont="1" applyFill="1" applyBorder="1" applyAlignment="1">
      <alignment horizontal="center" vertical="center"/>
    </xf>
    <xf numFmtId="0" fontId="34" fillId="0" borderId="6" xfId="1" applyNumberFormat="1" applyFont="1" applyBorder="1" applyAlignment="1">
      <alignment horizontal="center" vertical="center"/>
    </xf>
    <xf numFmtId="0" fontId="38" fillId="0" borderId="63" xfId="0" applyFont="1" applyBorder="1" applyAlignment="1">
      <alignment horizontal="center" vertical="center"/>
    </xf>
    <xf numFmtId="49" fontId="35" fillId="31" borderId="7" xfId="1" applyNumberFormat="1" applyFont="1" applyFill="1" applyBorder="1" applyAlignment="1">
      <alignment horizontal="center" vertical="center"/>
    </xf>
    <xf numFmtId="49" fontId="34" fillId="31" borderId="7" xfId="1" applyNumberFormat="1" applyFont="1" applyFill="1" applyBorder="1" applyAlignment="1">
      <alignment horizontal="center" vertical="center"/>
    </xf>
    <xf numFmtId="0" fontId="36" fillId="31" borderId="7" xfId="0" applyFont="1" applyFill="1" applyBorder="1" applyAlignment="1">
      <alignment horizontal="center" vertical="center"/>
    </xf>
    <xf numFmtId="0" fontId="6" fillId="5" borderId="16" xfId="2" applyFont="1" applyFill="1" applyBorder="1" applyAlignment="1">
      <alignment horizontal="center" vertical="center" wrapText="1"/>
    </xf>
    <xf numFmtId="0" fontId="6" fillId="5" borderId="17" xfId="2" applyFont="1" applyFill="1" applyBorder="1" applyAlignment="1">
      <alignment horizontal="center" vertical="center"/>
    </xf>
    <xf numFmtId="0" fontId="6" fillId="5" borderId="18" xfId="2" applyFont="1" applyFill="1" applyBorder="1" applyAlignment="1">
      <alignment horizontal="center" vertical="center"/>
    </xf>
    <xf numFmtId="0" fontId="6" fillId="5" borderId="19" xfId="2" applyFont="1" applyFill="1" applyBorder="1" applyAlignment="1">
      <alignment horizontal="center" vertical="center"/>
    </xf>
    <xf numFmtId="0" fontId="6" fillId="5" borderId="0" xfId="2" applyFont="1" applyFill="1" applyAlignment="1">
      <alignment horizontal="center" vertical="center"/>
    </xf>
    <xf numFmtId="0" fontId="6" fillId="5" borderId="20" xfId="2" applyFont="1" applyFill="1" applyBorder="1" applyAlignment="1">
      <alignment horizontal="center" vertical="center"/>
    </xf>
    <xf numFmtId="0" fontId="8" fillId="5" borderId="0" xfId="2" applyFont="1" applyFill="1">
      <alignment vertical="center"/>
    </xf>
    <xf numFmtId="0" fontId="8" fillId="5" borderId="20" xfId="2" applyFont="1" applyFill="1" applyBorder="1">
      <alignment vertical="center"/>
    </xf>
    <xf numFmtId="0" fontId="8" fillId="5" borderId="0" xfId="2" applyFont="1" applyFill="1" applyBorder="1" applyAlignment="1">
      <alignment vertical="center"/>
    </xf>
    <xf numFmtId="0" fontId="8" fillId="5" borderId="20" xfId="2" applyFont="1" applyFill="1" applyBorder="1" applyAlignment="1">
      <alignment vertical="center"/>
    </xf>
    <xf numFmtId="0" fontId="6" fillId="5" borderId="60" xfId="2" applyFont="1" applyFill="1" applyBorder="1" applyAlignment="1">
      <alignment horizontal="center" vertical="center" wrapText="1"/>
    </xf>
    <xf numFmtId="0" fontId="6" fillId="5" borderId="61" xfId="2" applyFont="1" applyFill="1" applyBorder="1" applyAlignment="1">
      <alignment horizontal="center" vertical="center"/>
    </xf>
    <xf numFmtId="0" fontId="6" fillId="5" borderId="62" xfId="2" applyFont="1" applyFill="1" applyBorder="1" applyAlignment="1">
      <alignment horizontal="center" vertical="center"/>
    </xf>
    <xf numFmtId="0" fontId="6" fillId="5" borderId="0" xfId="2" applyFont="1" applyFill="1" applyBorder="1" applyAlignment="1">
      <alignment horizontal="center" vertical="center"/>
    </xf>
    <xf numFmtId="0" fontId="48" fillId="0" borderId="47" xfId="0" applyFont="1" applyBorder="1" applyAlignment="1">
      <alignment horizontal="left" vertical="center" wrapText="1" indent="1"/>
    </xf>
    <xf numFmtId="0" fontId="48" fillId="0" borderId="48" xfId="0" applyFont="1" applyBorder="1" applyAlignment="1">
      <alignment horizontal="left" vertical="center" wrapText="1" indent="1"/>
    </xf>
    <xf numFmtId="0" fontId="48" fillId="0" borderId="49" xfId="0" applyFont="1" applyBorder="1" applyAlignment="1">
      <alignment horizontal="left" vertical="center" wrapText="1" indent="1"/>
    </xf>
    <xf numFmtId="0" fontId="48" fillId="0" borderId="10" xfId="0" applyFont="1" applyBorder="1" applyAlignment="1">
      <alignment horizontal="left" vertical="center" wrapText="1" indent="1"/>
    </xf>
    <xf numFmtId="0" fontId="48" fillId="0" borderId="0" xfId="0" applyFont="1" applyBorder="1" applyAlignment="1">
      <alignment horizontal="left" vertical="center" wrapText="1" indent="1"/>
    </xf>
    <xf numFmtId="0" fontId="48" fillId="0" borderId="15" xfId="0" applyFont="1" applyBorder="1" applyAlignment="1">
      <alignment horizontal="left" vertical="center" wrapText="1" indent="1"/>
    </xf>
    <xf numFmtId="0" fontId="48" fillId="0" borderId="11" xfId="0" applyFont="1" applyBorder="1" applyAlignment="1">
      <alignment horizontal="left" vertical="center" wrapText="1" indent="1"/>
    </xf>
    <xf numFmtId="0" fontId="48" fillId="0" borderId="12" xfId="0" applyFont="1" applyBorder="1" applyAlignment="1">
      <alignment horizontal="left" vertical="center" wrapText="1" indent="1"/>
    </xf>
    <xf numFmtId="0" fontId="48" fillId="0" borderId="13" xfId="0" applyFont="1" applyBorder="1" applyAlignment="1">
      <alignment horizontal="left" vertical="center" wrapText="1" indent="1"/>
    </xf>
    <xf numFmtId="0" fontId="37" fillId="0" borderId="44" xfId="0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0" fontId="37" fillId="0" borderId="50" xfId="0" applyFont="1" applyBorder="1" applyAlignment="1">
      <alignment horizontal="center" vertical="center"/>
    </xf>
    <xf numFmtId="0" fontId="37" fillId="0" borderId="52" xfId="0" applyFont="1" applyBorder="1" applyAlignment="1">
      <alignment horizontal="center" vertical="center"/>
    </xf>
    <xf numFmtId="0" fontId="45" fillId="0" borderId="0" xfId="0" applyFont="1" applyAlignment="1">
      <alignment horizontal="center" vertical="center"/>
    </xf>
    <xf numFmtId="0" fontId="37" fillId="0" borderId="0" xfId="0" applyFont="1" applyAlignment="1">
      <alignment horizontal="center" vertical="top"/>
    </xf>
    <xf numFmtId="0" fontId="37" fillId="0" borderId="0" xfId="0" applyFont="1" applyAlignment="1">
      <alignment horizontal="center" vertical="center"/>
    </xf>
    <xf numFmtId="0" fontId="35" fillId="0" borderId="45" xfId="0" applyFont="1" applyBorder="1" applyAlignment="1">
      <alignment horizontal="center" vertical="center"/>
    </xf>
    <xf numFmtId="0" fontId="35" fillId="0" borderId="51" xfId="0" applyFont="1" applyBorder="1" applyAlignment="1">
      <alignment horizontal="center" vertical="center"/>
    </xf>
    <xf numFmtId="0" fontId="35" fillId="0" borderId="53" xfId="0" applyFont="1" applyBorder="1" applyAlignment="1">
      <alignment horizontal="center" vertical="center"/>
    </xf>
    <xf numFmtId="0" fontId="37" fillId="0" borderId="8" xfId="0" applyFont="1" applyBorder="1" applyAlignment="1">
      <alignment horizontal="center" vertical="center"/>
    </xf>
    <xf numFmtId="0" fontId="37" fillId="0" borderId="54" xfId="0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38" fillId="0" borderId="68" xfId="0" applyFont="1" applyBorder="1" applyAlignment="1">
      <alignment horizontal="center" vertical="center"/>
    </xf>
    <xf numFmtId="0" fontId="38" fillId="0" borderId="8" xfId="0" applyFont="1" applyBorder="1" applyAlignment="1">
      <alignment horizontal="center" vertical="center"/>
    </xf>
    <xf numFmtId="0" fontId="38" fillId="0" borderId="4" xfId="0" applyFont="1" applyBorder="1" applyAlignment="1">
      <alignment horizontal="center" vertical="center"/>
    </xf>
    <xf numFmtId="0" fontId="38" fillId="0" borderId="3" xfId="0" applyFont="1" applyBorder="1" applyAlignment="1">
      <alignment horizontal="center" vertical="center"/>
    </xf>
    <xf numFmtId="0" fontId="38" fillId="0" borderId="5" xfId="0" applyFont="1" applyBorder="1" applyAlignment="1">
      <alignment horizontal="center" vertical="center"/>
    </xf>
    <xf numFmtId="17" fontId="41" fillId="0" borderId="27" xfId="0" quotePrefix="1" applyNumberFormat="1" applyFont="1" applyBorder="1" applyAlignment="1">
      <alignment horizontal="center" vertical="center"/>
    </xf>
    <xf numFmtId="0" fontId="41" fillId="0" borderId="26" xfId="0" applyFont="1" applyBorder="1" applyAlignment="1">
      <alignment horizontal="center" vertical="center"/>
    </xf>
    <xf numFmtId="0" fontId="41" fillId="0" borderId="41" xfId="0" applyFont="1" applyBorder="1" applyAlignment="1">
      <alignment horizontal="center" vertical="center"/>
    </xf>
    <xf numFmtId="0" fontId="41" fillId="0" borderId="25" xfId="0" applyFont="1" applyBorder="1" applyAlignment="1">
      <alignment horizontal="center" vertical="center"/>
    </xf>
    <xf numFmtId="0" fontId="4" fillId="0" borderId="70" xfId="0" applyFont="1" applyBorder="1" applyAlignment="1">
      <alignment horizontal="center" vertical="center" wrapText="1"/>
    </xf>
    <xf numFmtId="0" fontId="4" fillId="0" borderId="54" xfId="0" applyFont="1" applyBorder="1" applyAlignment="1">
      <alignment horizontal="center" vertical="center" wrapText="1"/>
    </xf>
    <xf numFmtId="0" fontId="38" fillId="0" borderId="65" xfId="0" applyFont="1" applyBorder="1" applyAlignment="1">
      <alignment horizontal="center" vertical="center"/>
    </xf>
    <xf numFmtId="0" fontId="38" fillId="0" borderId="63" xfId="0" applyFont="1" applyBorder="1" applyAlignment="1">
      <alignment horizontal="center" vertical="center"/>
    </xf>
    <xf numFmtId="0" fontId="38" fillId="0" borderId="69" xfId="0" applyFont="1" applyBorder="1" applyAlignment="1">
      <alignment horizontal="center" vertical="center"/>
    </xf>
    <xf numFmtId="0" fontId="41" fillId="0" borderId="2" xfId="0" quotePrefix="1" applyFont="1" applyBorder="1" applyAlignment="1">
      <alignment horizontal="center" vertical="center"/>
    </xf>
    <xf numFmtId="0" fontId="41" fillId="0" borderId="2" xfId="0" applyFont="1" applyBorder="1" applyAlignment="1">
      <alignment horizontal="center" vertical="center"/>
    </xf>
  </cellXfs>
  <cellStyles count="59">
    <cellStyle name="20% - 강조색1" xfId="4" xr:uid="{714D3C9B-44F3-4D2F-8D8D-2D10EC3A1746}"/>
    <cellStyle name="20% - 强调文字颜色 1" xfId="5" xr:uid="{6B0ABCD3-6E3C-4A76-841A-CDD8D7B7DE66}"/>
    <cellStyle name="20% - 强调文字颜色 2" xfId="6" xr:uid="{08C353E1-BEAC-4E56-A1E6-53E9D37B74ED}"/>
    <cellStyle name="20% - 强调文字颜色 3" xfId="7" xr:uid="{FF8956F4-CE0E-44E4-8B8D-A8BCE157324F}"/>
    <cellStyle name="20% - 强调文字颜色 4" xfId="8" xr:uid="{43EE0AA5-2160-4C8B-A11E-295455B736C2}"/>
    <cellStyle name="20% - 强调文字颜色 5" xfId="9" xr:uid="{A8D48ADF-68BE-4A32-B8B1-6A13AA35BEFE}"/>
    <cellStyle name="20% - 强调文字颜色 6" xfId="10" xr:uid="{ACE2C29A-5319-44A4-BA32-48AAE59644BB}"/>
    <cellStyle name="40% - 强调文字颜色 1" xfId="11" xr:uid="{121B68AB-8118-4076-97FE-5AB1F2CAEF09}"/>
    <cellStyle name="40% - 强调文字颜色 2" xfId="12" xr:uid="{C9BFE80C-3C76-45F7-BEC4-1683AE3852F8}"/>
    <cellStyle name="40% - 强调文字颜色 3" xfId="13" xr:uid="{F327B103-9200-4433-B7BF-7D973E23C364}"/>
    <cellStyle name="40% - 强调文字颜色 4" xfId="14" xr:uid="{B52A7250-EDAC-42FC-A454-605F30E291CA}"/>
    <cellStyle name="40% - 强调文字颜色 5" xfId="15" xr:uid="{FBB5198B-866E-4C1C-9A76-AB44D80537B6}"/>
    <cellStyle name="40% - 强调文字颜色 6" xfId="16" xr:uid="{C55786E6-0483-415C-9F83-E9FA333714A1}"/>
    <cellStyle name="60% - 强调文字颜色 1" xfId="17" xr:uid="{2DD790F5-0B42-4568-B994-8712B7C67B62}"/>
    <cellStyle name="60% - 强调文字颜色 2" xfId="18" xr:uid="{1480295F-329D-4743-BE3E-1CED20E8CA76}"/>
    <cellStyle name="60% - 强调文字颜色 3" xfId="19" xr:uid="{0690B8B5-5EEF-4DE9-AC4F-C6A2EE234812}"/>
    <cellStyle name="60% - 强调文字颜色 4" xfId="20" xr:uid="{B0075957-86EE-4AE3-9F7C-32CF230DF037}"/>
    <cellStyle name="60% - 强调文字颜色 5" xfId="21" xr:uid="{27C2D56C-7046-4623-B8E3-0466E42E0DC1}"/>
    <cellStyle name="60% - 强调文字颜色 6" xfId="22" xr:uid="{7FE4B4C1-8A6D-4992-B9C8-7A5ABABB0E29}"/>
    <cellStyle name="Comma [0]" xfId="1" builtinId="6"/>
    <cellStyle name="Hyperlink" xfId="3" builtinId="8"/>
    <cellStyle name="Normal" xfId="0" builtinId="0"/>
    <cellStyle name="Normal 2" xfId="2" xr:uid="{C1957FF1-DE2B-453A-90F7-E9F2B63F8899}"/>
    <cellStyle name="Normal 3" xfId="58" xr:uid="{20F0C45B-29A5-41FC-8A2C-59D7083CFDC7}"/>
    <cellStyle name="Normal 5 2" xfId="51" xr:uid="{0577F515-EC0C-4D75-91BD-0C6F65071E29}"/>
    <cellStyle name="강조색1" xfId="23" xr:uid="{3923D96F-FA42-4902-8AC0-E6136AAB7C2A}"/>
    <cellStyle name="강조색2" xfId="24" xr:uid="{CA373B3B-F200-47C4-A620-563CAC07EDE1}"/>
    <cellStyle name="강조색4" xfId="25" xr:uid="{592B3973-19EC-48A7-99E5-A5F1BF7E84A9}"/>
    <cellStyle name="제목 1" xfId="49" xr:uid="{CAB7E73C-FDAD-44BF-BEA9-F3DE76EA6091}"/>
    <cellStyle name="출력" xfId="50" xr:uid="{41904CE4-0F41-49A7-9E5A-C32848DB4A3D}"/>
    <cellStyle name="출력 2" xfId="57" xr:uid="{163B7452-202C-4920-8416-E5EBAF497204}"/>
    <cellStyle name="好" xfId="32" xr:uid="{3FF8120A-1772-4E4E-889B-6798AB92706D}"/>
    <cellStyle name="差" xfId="31" xr:uid="{402C4D6D-6705-4AFE-8896-413F9229C635}"/>
    <cellStyle name="强调文字颜色 1" xfId="39" xr:uid="{EFABDD38-3E4C-46B4-998B-DE6D89D2AD7A}"/>
    <cellStyle name="强调文字颜色 2" xfId="40" xr:uid="{F798C19A-4336-43F1-ABC4-4A5C15DA7F7A}"/>
    <cellStyle name="强调文字颜色 3" xfId="41" xr:uid="{D35771E2-D37E-45C5-B195-5AFAEA45D185}"/>
    <cellStyle name="强调文字颜色 4" xfId="42" xr:uid="{D0C78714-A7F2-4AB6-A43C-5DE5D4125797}"/>
    <cellStyle name="强调文字颜色 5" xfId="43" xr:uid="{AB6AC8CE-8A2E-4A43-9724-B816B4FAAD51}"/>
    <cellStyle name="强调文字颜色 6" xfId="44" xr:uid="{E0446B8C-F8A2-483A-95FA-95616F83049B}"/>
    <cellStyle name="标题" xfId="26" xr:uid="{9C2E2D9F-5C3A-444F-B855-0279121413B5}"/>
    <cellStyle name="标题 1" xfId="27" xr:uid="{B23193B9-AEE3-4F2F-9709-916BDE014704}"/>
    <cellStyle name="标题 2" xfId="28" xr:uid="{2BEC398C-7568-4010-949D-CA51317825EE}"/>
    <cellStyle name="标题 3" xfId="29" xr:uid="{EF355A4F-17B0-445B-A816-F30C3E545A84}"/>
    <cellStyle name="标题 4" xfId="30" xr:uid="{6F8370D2-0727-4B04-99FC-153D298A80DC}"/>
    <cellStyle name="检查单元格" xfId="35" xr:uid="{F84DA332-742F-45C3-B9A9-64AE0062AAF3}"/>
    <cellStyle name="汇总" xfId="33" xr:uid="{818589F7-0763-4650-A7D3-61AD439DDCD2}"/>
    <cellStyle name="汇总 2" xfId="52" xr:uid="{E864577D-21AD-4FAD-883D-33421067355E}"/>
    <cellStyle name="注释" xfId="48" xr:uid="{446459BF-D0C3-48FB-A3C1-C91EAFC3DAEA}"/>
    <cellStyle name="注释 2" xfId="56" xr:uid="{951D0320-A8F5-4AAE-AB8B-FF8210BCDCDE}"/>
    <cellStyle name="解释性文本" xfId="36" xr:uid="{62C48C2C-5BEA-477B-A232-359DBCD21B2B}"/>
    <cellStyle name="警告文本" xfId="37" xr:uid="{49B327C3-6A62-4028-A7C8-B1456409775A}"/>
    <cellStyle name="计算" xfId="34" xr:uid="{C4B1B92A-C6AB-46A9-9234-170CE84CC489}"/>
    <cellStyle name="计算 2" xfId="53" xr:uid="{8D85FF9B-BE04-45D7-AF64-BCD668FA5C98}"/>
    <cellStyle name="输入" xfId="47" xr:uid="{4BCFAEF0-CC08-4F8E-A685-552482BB20D8}"/>
    <cellStyle name="输入 2" xfId="55" xr:uid="{95ACF3A2-2909-4554-A2B2-491F52626E44}"/>
    <cellStyle name="输出" xfId="46" xr:uid="{EB224437-188A-457C-B696-C1AE3F986722}"/>
    <cellStyle name="输出 2" xfId="54" xr:uid="{A795152B-E20B-48DF-BD9D-9393F923C9D9}"/>
    <cellStyle name="适中" xfId="45" xr:uid="{67031742-D1B7-4D99-91A1-B7B498528D8F}"/>
    <cellStyle name="链接单元格" xfId="38" xr:uid="{9A517E51-F2D1-4840-94BD-B1E5F8B173A0}"/>
  </cellStyles>
  <dxfs count="0"/>
  <tableStyles count="0" defaultTableStyle="TableStyleMedium2" defaultPivotStyle="PivotStyleLight16"/>
  <colors>
    <mruColors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82826</xdr:colOff>
      <xdr:row>0</xdr:row>
      <xdr:rowOff>49697</xdr:rowOff>
    </xdr:from>
    <xdr:to>
      <xdr:col>10</xdr:col>
      <xdr:colOff>66260</xdr:colOff>
      <xdr:row>5</xdr:row>
      <xdr:rowOff>45488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3947728-3993-4B56-9261-5B8D1027C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5043" y="49697"/>
          <a:ext cx="1524000" cy="824052"/>
        </a:xfrm>
        <a:prstGeom prst="rect">
          <a:avLst/>
        </a:prstGeom>
      </xdr:spPr>
    </xdr:pic>
    <xdr:clientData/>
  </xdr:twoCellAnchor>
  <xdr:twoCellAnchor editAs="oneCell">
    <xdr:from>
      <xdr:col>52</xdr:col>
      <xdr:colOff>226806</xdr:colOff>
      <xdr:row>0</xdr:row>
      <xdr:rowOff>66259</xdr:rowOff>
    </xdr:from>
    <xdr:to>
      <xdr:col>56</xdr:col>
      <xdr:colOff>496558</xdr:colOff>
      <xdr:row>4</xdr:row>
      <xdr:rowOff>91107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BE435B0-26DA-41A7-AA45-B3DEC767E0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tretch>
          <a:fillRect/>
        </a:stretch>
      </xdr:blipFill>
      <xdr:spPr>
        <a:xfrm>
          <a:off x="16286784" y="66259"/>
          <a:ext cx="1263665" cy="68745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82826</xdr:colOff>
      <xdr:row>0</xdr:row>
      <xdr:rowOff>49697</xdr:rowOff>
    </xdr:from>
    <xdr:to>
      <xdr:col>10</xdr:col>
      <xdr:colOff>66260</xdr:colOff>
      <xdr:row>5</xdr:row>
      <xdr:rowOff>45488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6773F7C-3D74-4D8F-82C6-B7389CA177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01" y="49697"/>
          <a:ext cx="1516959" cy="805416"/>
        </a:xfrm>
        <a:prstGeom prst="rect">
          <a:avLst/>
        </a:prstGeom>
      </xdr:spPr>
    </xdr:pic>
    <xdr:clientData/>
  </xdr:twoCellAnchor>
  <xdr:twoCellAnchor editAs="oneCell">
    <xdr:from>
      <xdr:col>52</xdr:col>
      <xdr:colOff>226806</xdr:colOff>
      <xdr:row>0</xdr:row>
      <xdr:rowOff>66259</xdr:rowOff>
    </xdr:from>
    <xdr:to>
      <xdr:col>56</xdr:col>
      <xdr:colOff>496558</xdr:colOff>
      <xdr:row>4</xdr:row>
      <xdr:rowOff>91107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8E83D3-A302-4FE7-9AEB-DA4FE2DFA0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tretch>
          <a:fillRect/>
        </a:stretch>
      </xdr:blipFill>
      <xdr:spPr>
        <a:xfrm>
          <a:off x="26268156" y="66259"/>
          <a:ext cx="1260352" cy="6725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9287B-7F73-4970-882D-154CAE59FA2C}">
  <sheetPr codeName="Sheet1"/>
  <dimension ref="A6:J35"/>
  <sheetViews>
    <sheetView workbookViewId="0">
      <selection activeCell="L14" sqref="L14"/>
    </sheetView>
  </sheetViews>
  <sheetFormatPr defaultRowHeight="15"/>
  <cols>
    <col min="1" max="1" width="6.42578125" bestFit="1" customWidth="1"/>
    <col min="2" max="2" width="3.85546875" bestFit="1" customWidth="1"/>
    <col min="3" max="3" width="17.5703125" bestFit="1" customWidth="1"/>
    <col min="4" max="9" width="0" hidden="1" customWidth="1"/>
  </cols>
  <sheetData>
    <row r="6" spans="1:10">
      <c r="A6" s="2"/>
      <c r="B6" s="2"/>
      <c r="C6" s="2"/>
      <c r="D6" s="3" t="s">
        <v>58</v>
      </c>
      <c r="E6" s="4"/>
      <c r="F6" s="20" t="s">
        <v>59</v>
      </c>
      <c r="G6" s="4"/>
      <c r="H6" s="4"/>
      <c r="I6" s="4"/>
      <c r="J6" s="4"/>
    </row>
    <row r="7" spans="1:10">
      <c r="A7" s="2"/>
      <c r="B7" s="2"/>
      <c r="C7" s="2"/>
      <c r="D7" s="5">
        <v>26</v>
      </c>
      <c r="E7" s="5">
        <v>27</v>
      </c>
      <c r="F7" s="5">
        <v>28</v>
      </c>
      <c r="G7" s="5">
        <v>29</v>
      </c>
      <c r="H7" s="5">
        <v>30</v>
      </c>
      <c r="I7" s="5">
        <v>31</v>
      </c>
      <c r="J7" s="11">
        <v>1</v>
      </c>
    </row>
    <row r="8" spans="1:10">
      <c r="A8" s="2"/>
      <c r="B8" s="2"/>
      <c r="C8" s="2"/>
      <c r="D8" s="12" t="s">
        <v>46</v>
      </c>
      <c r="E8" s="12" t="s">
        <v>47</v>
      </c>
      <c r="F8" s="12" t="s">
        <v>48</v>
      </c>
      <c r="G8" s="12" t="s">
        <v>49</v>
      </c>
      <c r="H8" s="12" t="s">
        <v>50</v>
      </c>
      <c r="I8" s="12" t="s">
        <v>44</v>
      </c>
      <c r="J8" s="13" t="s">
        <v>45</v>
      </c>
    </row>
    <row r="9" spans="1:10">
      <c r="A9" s="14" t="s">
        <v>178</v>
      </c>
      <c r="B9" s="14">
        <v>1</v>
      </c>
      <c r="C9" s="14" t="s">
        <v>179</v>
      </c>
      <c r="D9" s="15">
        <v>0.84722222222222221</v>
      </c>
      <c r="E9" s="15">
        <v>0.67499999999999993</v>
      </c>
      <c r="F9" s="15">
        <v>0.75138888888888899</v>
      </c>
      <c r="G9" s="15">
        <v>0.67361111111111116</v>
      </c>
      <c r="H9" s="15">
        <v>0.71597222222222223</v>
      </c>
      <c r="I9" s="15">
        <v>0.7090277777777777</v>
      </c>
      <c r="J9" s="18">
        <v>0.70833333333333337</v>
      </c>
    </row>
    <row r="10" spans="1:10">
      <c r="A10" s="14" t="s">
        <v>127</v>
      </c>
      <c r="B10" s="14">
        <v>2</v>
      </c>
      <c r="C10" s="14" t="s">
        <v>128</v>
      </c>
      <c r="D10" s="15">
        <v>0.71875</v>
      </c>
      <c r="E10" s="15">
        <v>0.75763888888888886</v>
      </c>
      <c r="F10" s="15">
        <v>0.75277777777777777</v>
      </c>
      <c r="G10" s="16"/>
      <c r="H10" s="15">
        <v>0.7104166666666667</v>
      </c>
      <c r="I10" s="15">
        <v>0.59791666666666665</v>
      </c>
      <c r="J10" s="17"/>
    </row>
    <row r="11" spans="1:10">
      <c r="A11" s="14" t="s">
        <v>142</v>
      </c>
      <c r="B11" s="14">
        <v>3</v>
      </c>
      <c r="C11" s="14" t="s">
        <v>143</v>
      </c>
      <c r="D11" s="16" t="s">
        <v>144</v>
      </c>
      <c r="E11" s="15">
        <v>0.72013888888888899</v>
      </c>
      <c r="F11" s="15">
        <v>0.67013888888888884</v>
      </c>
      <c r="G11" s="16"/>
      <c r="H11" s="16"/>
      <c r="I11" s="16"/>
      <c r="J11" s="17"/>
    </row>
    <row r="12" spans="1:10">
      <c r="A12" s="14" t="s">
        <v>192</v>
      </c>
      <c r="B12" s="14">
        <v>4</v>
      </c>
      <c r="C12" s="14" t="s">
        <v>193</v>
      </c>
      <c r="D12" s="15">
        <v>0.73125000000000007</v>
      </c>
      <c r="E12" s="15">
        <v>0.71250000000000002</v>
      </c>
      <c r="F12" s="15">
        <v>0.75069444444444444</v>
      </c>
      <c r="G12" s="16"/>
      <c r="H12" s="15">
        <v>0.71527777777777779</v>
      </c>
      <c r="I12" s="15">
        <v>0.59861111111111109</v>
      </c>
      <c r="J12" s="17"/>
    </row>
    <row r="13" spans="1:10">
      <c r="A13" s="14" t="s">
        <v>243</v>
      </c>
      <c r="B13" s="14">
        <v>5</v>
      </c>
      <c r="C13" s="14" t="s">
        <v>244</v>
      </c>
      <c r="D13" s="16" t="s">
        <v>246</v>
      </c>
      <c r="E13" s="16" t="s">
        <v>181</v>
      </c>
      <c r="F13" s="16" t="s">
        <v>247</v>
      </c>
      <c r="G13" s="16" t="s">
        <v>248</v>
      </c>
      <c r="H13" s="16" t="s">
        <v>249</v>
      </c>
      <c r="I13" s="16" t="s">
        <v>250</v>
      </c>
      <c r="J13" s="17"/>
    </row>
    <row r="14" spans="1:10">
      <c r="A14" s="14" t="s">
        <v>165</v>
      </c>
      <c r="B14" s="14">
        <v>6</v>
      </c>
      <c r="C14" s="14" t="s">
        <v>166</v>
      </c>
      <c r="D14" s="15">
        <v>0.71875</v>
      </c>
      <c r="E14" s="15">
        <v>0.70972222222222225</v>
      </c>
      <c r="F14" s="15">
        <v>0.75277777777777777</v>
      </c>
      <c r="G14" s="16"/>
      <c r="H14" s="15">
        <v>0.77013888888888893</v>
      </c>
      <c r="I14" s="15">
        <v>0.6020833333333333</v>
      </c>
      <c r="J14" s="17"/>
    </row>
    <row r="15" spans="1:10">
      <c r="A15" s="14" t="s">
        <v>151</v>
      </c>
      <c r="B15" s="14">
        <v>7</v>
      </c>
      <c r="C15" s="14" t="s">
        <v>152</v>
      </c>
      <c r="D15" s="16" t="s">
        <v>154</v>
      </c>
      <c r="E15" s="15">
        <v>0.70972222222222225</v>
      </c>
      <c r="F15" s="15">
        <v>0.75277777777777777</v>
      </c>
      <c r="G15" s="16"/>
      <c r="H15" s="15">
        <v>0.77083333333333337</v>
      </c>
      <c r="I15" s="15">
        <v>0.6020833333333333</v>
      </c>
      <c r="J15" s="17"/>
    </row>
    <row r="16" spans="1:10" ht="22.5">
      <c r="A16" s="14" t="s">
        <v>232</v>
      </c>
      <c r="B16" s="14">
        <v>8</v>
      </c>
      <c r="C16" s="14" t="s">
        <v>233</v>
      </c>
      <c r="D16" s="16"/>
      <c r="E16" s="16" t="s">
        <v>234</v>
      </c>
      <c r="F16" s="16" t="s">
        <v>235</v>
      </c>
      <c r="G16" s="16"/>
      <c r="H16" s="16" t="s">
        <v>236</v>
      </c>
      <c r="I16" s="16" t="s">
        <v>237</v>
      </c>
      <c r="J16" s="17"/>
    </row>
    <row r="17" spans="1:10">
      <c r="A17" s="14" t="s">
        <v>111</v>
      </c>
      <c r="B17" s="14">
        <v>9</v>
      </c>
      <c r="C17" s="14" t="s">
        <v>112</v>
      </c>
      <c r="D17" s="16"/>
      <c r="E17" s="16" t="s">
        <v>114</v>
      </c>
      <c r="F17" s="15">
        <v>0.90486111111111101</v>
      </c>
      <c r="G17" s="15">
        <v>0.89722222222222225</v>
      </c>
      <c r="H17" s="15">
        <v>0.91666666666666663</v>
      </c>
      <c r="I17" s="15">
        <v>0.8125</v>
      </c>
      <c r="J17" s="18">
        <v>0.9145833333333333</v>
      </c>
    </row>
    <row r="18" spans="1:10">
      <c r="A18" s="14" t="s">
        <v>205</v>
      </c>
      <c r="B18" s="14">
        <v>10</v>
      </c>
      <c r="C18" s="14" t="s">
        <v>206</v>
      </c>
      <c r="D18" s="15">
        <v>0.75555555555555554</v>
      </c>
      <c r="E18" s="15">
        <v>0.75208333333333333</v>
      </c>
      <c r="F18" s="15">
        <v>0.75416666666666676</v>
      </c>
      <c r="G18" s="15">
        <v>0.6743055555555556</v>
      </c>
      <c r="H18" s="15">
        <v>0.72291666666666676</v>
      </c>
      <c r="I18" s="15">
        <v>0.71319444444444446</v>
      </c>
      <c r="J18" s="18">
        <v>0.72013888888888899</v>
      </c>
    </row>
    <row r="19" spans="1:10">
      <c r="A19" s="14" t="s">
        <v>97</v>
      </c>
      <c r="B19" s="14">
        <v>11</v>
      </c>
      <c r="C19" s="14" t="s">
        <v>98</v>
      </c>
      <c r="D19" s="15">
        <v>0.82013888888888886</v>
      </c>
      <c r="E19" s="15">
        <v>0.80763888888888891</v>
      </c>
      <c r="F19" s="15">
        <v>0.79513888888888884</v>
      </c>
      <c r="G19" s="16"/>
      <c r="H19" s="15">
        <v>0.70833333333333337</v>
      </c>
      <c r="I19" s="15">
        <v>0.5805555555555556</v>
      </c>
      <c r="J19" s="17"/>
    </row>
    <row r="20" spans="1:10" ht="22.5">
      <c r="A20" s="14" t="s">
        <v>254</v>
      </c>
      <c r="B20" s="14">
        <v>12</v>
      </c>
      <c r="C20" s="14" t="s">
        <v>255</v>
      </c>
      <c r="D20" s="16" t="s">
        <v>256</v>
      </c>
      <c r="E20" s="16" t="s">
        <v>257</v>
      </c>
      <c r="F20" s="16" t="s">
        <v>258</v>
      </c>
      <c r="G20" s="16" t="s">
        <v>259</v>
      </c>
      <c r="H20" s="16" t="s">
        <v>260</v>
      </c>
      <c r="I20" s="16" t="s">
        <v>261</v>
      </c>
      <c r="J20" s="17" t="s">
        <v>262</v>
      </c>
    </row>
    <row r="21" spans="1:10">
      <c r="A21" s="14" t="s">
        <v>320</v>
      </c>
      <c r="B21" s="14">
        <v>13</v>
      </c>
      <c r="C21" s="14" t="s">
        <v>321</v>
      </c>
      <c r="D21" s="16"/>
      <c r="E21" s="16"/>
      <c r="F21" s="16"/>
      <c r="G21" s="16"/>
      <c r="H21" s="16"/>
      <c r="I21" s="16"/>
      <c r="J21" s="17"/>
    </row>
    <row r="22" spans="1:10">
      <c r="A22" s="14" t="s">
        <v>327</v>
      </c>
      <c r="B22" s="14">
        <v>14</v>
      </c>
      <c r="C22" s="14" t="s">
        <v>328</v>
      </c>
      <c r="D22" s="16"/>
      <c r="E22" s="16"/>
      <c r="F22" s="16" t="s">
        <v>329</v>
      </c>
      <c r="G22" s="16" t="s">
        <v>330</v>
      </c>
      <c r="H22" s="16" t="s">
        <v>331</v>
      </c>
      <c r="I22" s="16" t="s">
        <v>332</v>
      </c>
      <c r="J22" s="17" t="s">
        <v>333</v>
      </c>
    </row>
    <row r="23" spans="1:10">
      <c r="A23" s="14" t="s">
        <v>295</v>
      </c>
      <c r="B23" s="14">
        <v>15</v>
      </c>
      <c r="C23" s="14" t="s">
        <v>296</v>
      </c>
      <c r="D23" s="16"/>
      <c r="E23" s="16" t="s">
        <v>297</v>
      </c>
      <c r="F23" s="16" t="s">
        <v>298</v>
      </c>
      <c r="G23" s="16"/>
      <c r="H23" s="16" t="s">
        <v>299</v>
      </c>
      <c r="I23" s="16" t="s">
        <v>300</v>
      </c>
      <c r="J23" s="17" t="s">
        <v>301</v>
      </c>
    </row>
    <row r="24" spans="1:10">
      <c r="A24" s="14" t="s">
        <v>421</v>
      </c>
      <c r="B24" s="14">
        <v>16</v>
      </c>
      <c r="C24" s="14" t="s">
        <v>422</v>
      </c>
      <c r="D24" s="16"/>
      <c r="E24" s="16"/>
      <c r="F24" s="16" t="s">
        <v>423</v>
      </c>
      <c r="G24" s="16" t="s">
        <v>424</v>
      </c>
      <c r="H24" s="16" t="s">
        <v>425</v>
      </c>
      <c r="I24" s="16" t="s">
        <v>426</v>
      </c>
      <c r="J24" s="17" t="s">
        <v>427</v>
      </c>
    </row>
    <row r="25" spans="1:10">
      <c r="A25" s="14" t="s">
        <v>308</v>
      </c>
      <c r="B25" s="14">
        <v>17</v>
      </c>
      <c r="C25" s="14" t="s">
        <v>309</v>
      </c>
      <c r="D25" s="16" t="s">
        <v>310</v>
      </c>
      <c r="E25" s="16" t="s">
        <v>311</v>
      </c>
      <c r="F25" s="16" t="s">
        <v>312</v>
      </c>
      <c r="G25" s="16"/>
      <c r="H25" s="16" t="s">
        <v>313</v>
      </c>
      <c r="I25" s="16" t="s">
        <v>314</v>
      </c>
      <c r="J25" s="17"/>
    </row>
    <row r="26" spans="1:10">
      <c r="A26" s="14" t="s">
        <v>222</v>
      </c>
      <c r="B26" s="14">
        <v>18</v>
      </c>
      <c r="C26" s="14" t="s">
        <v>223</v>
      </c>
      <c r="D26" s="16" t="s">
        <v>225</v>
      </c>
      <c r="E26" s="16" t="s">
        <v>226</v>
      </c>
      <c r="F26" s="16" t="s">
        <v>227</v>
      </c>
      <c r="G26" s="16"/>
      <c r="H26" s="16" t="s">
        <v>228</v>
      </c>
      <c r="I26" s="16" t="s">
        <v>229</v>
      </c>
      <c r="J26" s="17"/>
    </row>
    <row r="27" spans="1:10">
      <c r="A27" s="19" t="s">
        <v>362</v>
      </c>
      <c r="B27" s="14">
        <v>19</v>
      </c>
      <c r="C27" s="14" t="s">
        <v>434</v>
      </c>
      <c r="D27" s="16"/>
      <c r="E27" s="16"/>
      <c r="F27" s="16"/>
      <c r="G27" s="16"/>
      <c r="H27" s="16"/>
      <c r="I27" s="16"/>
      <c r="J27" s="16"/>
    </row>
    <row r="28" spans="1:10">
      <c r="A28" s="14" t="s">
        <v>349</v>
      </c>
      <c r="B28" s="14">
        <v>20</v>
      </c>
      <c r="C28" s="14" t="s">
        <v>350</v>
      </c>
      <c r="D28" s="16" t="s">
        <v>352</v>
      </c>
      <c r="E28" s="16" t="s">
        <v>353</v>
      </c>
      <c r="F28" s="16" t="s">
        <v>354</v>
      </c>
      <c r="G28" s="16"/>
      <c r="H28" s="16" t="s">
        <v>355</v>
      </c>
      <c r="I28" s="16" t="s">
        <v>356</v>
      </c>
      <c r="J28" s="17"/>
    </row>
    <row r="29" spans="1:10">
      <c r="A29" s="14" t="s">
        <v>284</v>
      </c>
      <c r="B29" s="14">
        <v>21</v>
      </c>
      <c r="C29" s="14" t="s">
        <v>285</v>
      </c>
      <c r="D29" s="16"/>
      <c r="E29" s="16"/>
      <c r="F29" s="16" t="s">
        <v>286</v>
      </c>
      <c r="G29" s="16"/>
      <c r="H29" s="16" t="s">
        <v>287</v>
      </c>
      <c r="I29" s="16" t="s">
        <v>288</v>
      </c>
      <c r="J29" s="17"/>
    </row>
    <row r="30" spans="1:10">
      <c r="A30" s="14" t="s">
        <v>268</v>
      </c>
      <c r="B30" s="14">
        <v>22</v>
      </c>
      <c r="C30" s="14" t="s">
        <v>269</v>
      </c>
      <c r="D30" s="16" t="s">
        <v>271</v>
      </c>
      <c r="E30" s="16" t="s">
        <v>272</v>
      </c>
      <c r="F30" s="16" t="s">
        <v>273</v>
      </c>
      <c r="G30" s="16"/>
      <c r="H30" s="16" t="s">
        <v>274</v>
      </c>
      <c r="I30" s="16" t="s">
        <v>275</v>
      </c>
      <c r="J30" s="17" t="s">
        <v>276</v>
      </c>
    </row>
    <row r="31" spans="1:10">
      <c r="A31" s="14" t="s">
        <v>336</v>
      </c>
      <c r="B31" s="14">
        <v>23</v>
      </c>
      <c r="C31" s="14" t="s">
        <v>337</v>
      </c>
      <c r="D31" s="16" t="s">
        <v>339</v>
      </c>
      <c r="E31" s="16" t="s">
        <v>340</v>
      </c>
      <c r="F31" s="16" t="s">
        <v>341</v>
      </c>
      <c r="G31" s="16"/>
      <c r="H31" s="16" t="s">
        <v>342</v>
      </c>
      <c r="I31" s="16" t="s">
        <v>343</v>
      </c>
      <c r="J31" s="17"/>
    </row>
    <row r="32" spans="1:10" ht="22.5">
      <c r="A32" s="14" t="s">
        <v>366</v>
      </c>
      <c r="B32" s="14"/>
      <c r="C32" s="14" t="s">
        <v>367</v>
      </c>
      <c r="D32" s="16" t="s">
        <v>369</v>
      </c>
      <c r="E32" s="16" t="s">
        <v>370</v>
      </c>
      <c r="F32" s="16" t="s">
        <v>371</v>
      </c>
      <c r="G32" s="16" t="s">
        <v>372</v>
      </c>
      <c r="H32" s="16" t="s">
        <v>373</v>
      </c>
      <c r="I32" s="16" t="s">
        <v>374</v>
      </c>
      <c r="J32" s="17" t="s">
        <v>375</v>
      </c>
    </row>
    <row r="33" spans="1:10" ht="22.5">
      <c r="A33" s="14" t="s">
        <v>378</v>
      </c>
      <c r="B33" s="14"/>
      <c r="C33" s="14" t="s">
        <v>379</v>
      </c>
      <c r="D33" s="16" t="s">
        <v>380</v>
      </c>
      <c r="E33" s="16" t="s">
        <v>381</v>
      </c>
      <c r="F33" s="16" t="s">
        <v>382</v>
      </c>
      <c r="G33" s="16" t="s">
        <v>383</v>
      </c>
      <c r="H33" s="16" t="s">
        <v>384</v>
      </c>
      <c r="I33" s="16" t="s">
        <v>385</v>
      </c>
      <c r="J33" s="17" t="s">
        <v>386</v>
      </c>
    </row>
    <row r="34" spans="1:10">
      <c r="A34" s="14" t="s">
        <v>395</v>
      </c>
      <c r="B34" s="14"/>
      <c r="C34" s="14" t="s">
        <v>396</v>
      </c>
      <c r="D34" s="16"/>
      <c r="E34" s="16"/>
      <c r="F34" s="16"/>
      <c r="G34" s="16"/>
      <c r="H34" s="16"/>
      <c r="I34" s="16"/>
      <c r="J34" s="17"/>
    </row>
    <row r="35" spans="1:10" ht="22.5">
      <c r="A35" s="14" t="s">
        <v>404</v>
      </c>
      <c r="B35" s="14"/>
      <c r="C35" s="14" t="s">
        <v>405</v>
      </c>
      <c r="D35" s="16" t="s">
        <v>406</v>
      </c>
      <c r="E35" s="16" t="s">
        <v>407</v>
      </c>
      <c r="F35" s="16" t="s">
        <v>408</v>
      </c>
      <c r="G35" s="16" t="s">
        <v>409</v>
      </c>
      <c r="H35" s="16" t="s">
        <v>410</v>
      </c>
      <c r="I35" s="16" t="s">
        <v>411</v>
      </c>
      <c r="J35" s="17" t="s">
        <v>412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BAD73-0141-4D5E-A7D6-2A2F3B2AD580}">
  <sheetPr codeName="Sheet2"/>
  <dimension ref="A1:AE66"/>
  <sheetViews>
    <sheetView workbookViewId="0">
      <selection activeCell="A5" sqref="A5"/>
    </sheetView>
  </sheetViews>
  <sheetFormatPr defaultRowHeight="15"/>
  <cols>
    <col min="1" max="31" width="4.85546875" style="2" customWidth="1"/>
    <col min="32" max="256" width="9.140625" style="2"/>
    <col min="257" max="287" width="4.85546875" style="2" customWidth="1"/>
    <col min="288" max="512" width="9.140625" style="2"/>
    <col min="513" max="543" width="4.85546875" style="2" customWidth="1"/>
    <col min="544" max="768" width="9.140625" style="2"/>
    <col min="769" max="799" width="4.85546875" style="2" customWidth="1"/>
    <col min="800" max="1024" width="9.140625" style="2"/>
    <col min="1025" max="1055" width="4.85546875" style="2" customWidth="1"/>
    <col min="1056" max="1280" width="9.140625" style="2"/>
    <col min="1281" max="1311" width="4.85546875" style="2" customWidth="1"/>
    <col min="1312" max="1536" width="9.140625" style="2"/>
    <col min="1537" max="1567" width="4.85546875" style="2" customWidth="1"/>
    <col min="1568" max="1792" width="9.140625" style="2"/>
    <col min="1793" max="1823" width="4.85546875" style="2" customWidth="1"/>
    <col min="1824" max="2048" width="9.140625" style="2"/>
    <col min="2049" max="2079" width="4.85546875" style="2" customWidth="1"/>
    <col min="2080" max="2304" width="9.140625" style="2"/>
    <col min="2305" max="2335" width="4.85546875" style="2" customWidth="1"/>
    <col min="2336" max="2560" width="9.140625" style="2"/>
    <col min="2561" max="2591" width="4.85546875" style="2" customWidth="1"/>
    <col min="2592" max="2816" width="9.140625" style="2"/>
    <col min="2817" max="2847" width="4.85546875" style="2" customWidth="1"/>
    <col min="2848" max="3072" width="9.140625" style="2"/>
    <col min="3073" max="3103" width="4.85546875" style="2" customWidth="1"/>
    <col min="3104" max="3328" width="9.140625" style="2"/>
    <col min="3329" max="3359" width="4.85546875" style="2" customWidth="1"/>
    <col min="3360" max="3584" width="9.140625" style="2"/>
    <col min="3585" max="3615" width="4.85546875" style="2" customWidth="1"/>
    <col min="3616" max="3840" width="9.140625" style="2"/>
    <col min="3841" max="3871" width="4.85546875" style="2" customWidth="1"/>
    <col min="3872" max="4096" width="9.140625" style="2"/>
    <col min="4097" max="4127" width="4.85546875" style="2" customWidth="1"/>
    <col min="4128" max="4352" width="9.140625" style="2"/>
    <col min="4353" max="4383" width="4.85546875" style="2" customWidth="1"/>
    <col min="4384" max="4608" width="9.140625" style="2"/>
    <col min="4609" max="4639" width="4.85546875" style="2" customWidth="1"/>
    <col min="4640" max="4864" width="9.140625" style="2"/>
    <col min="4865" max="4895" width="4.85546875" style="2" customWidth="1"/>
    <col min="4896" max="5120" width="9.140625" style="2"/>
    <col min="5121" max="5151" width="4.85546875" style="2" customWidth="1"/>
    <col min="5152" max="5376" width="9.140625" style="2"/>
    <col min="5377" max="5407" width="4.85546875" style="2" customWidth="1"/>
    <col min="5408" max="5632" width="9.140625" style="2"/>
    <col min="5633" max="5663" width="4.85546875" style="2" customWidth="1"/>
    <col min="5664" max="5888" width="9.140625" style="2"/>
    <col min="5889" max="5919" width="4.85546875" style="2" customWidth="1"/>
    <col min="5920" max="6144" width="9.140625" style="2"/>
    <col min="6145" max="6175" width="4.85546875" style="2" customWidth="1"/>
    <col min="6176" max="6400" width="9.140625" style="2"/>
    <col min="6401" max="6431" width="4.85546875" style="2" customWidth="1"/>
    <col min="6432" max="6656" width="9.140625" style="2"/>
    <col min="6657" max="6687" width="4.85546875" style="2" customWidth="1"/>
    <col min="6688" max="6912" width="9.140625" style="2"/>
    <col min="6913" max="6943" width="4.85546875" style="2" customWidth="1"/>
    <col min="6944" max="7168" width="9.140625" style="2"/>
    <col min="7169" max="7199" width="4.85546875" style="2" customWidth="1"/>
    <col min="7200" max="7424" width="9.140625" style="2"/>
    <col min="7425" max="7455" width="4.85546875" style="2" customWidth="1"/>
    <col min="7456" max="7680" width="9.140625" style="2"/>
    <col min="7681" max="7711" width="4.85546875" style="2" customWidth="1"/>
    <col min="7712" max="7936" width="9.140625" style="2"/>
    <col min="7937" max="7967" width="4.85546875" style="2" customWidth="1"/>
    <col min="7968" max="8192" width="9.140625" style="2"/>
    <col min="8193" max="8223" width="4.85546875" style="2" customWidth="1"/>
    <col min="8224" max="8448" width="9.140625" style="2"/>
    <col min="8449" max="8479" width="4.85546875" style="2" customWidth="1"/>
    <col min="8480" max="8704" width="9.140625" style="2"/>
    <col min="8705" max="8735" width="4.85546875" style="2" customWidth="1"/>
    <col min="8736" max="8960" width="9.140625" style="2"/>
    <col min="8961" max="8991" width="4.85546875" style="2" customWidth="1"/>
    <col min="8992" max="9216" width="9.140625" style="2"/>
    <col min="9217" max="9247" width="4.85546875" style="2" customWidth="1"/>
    <col min="9248" max="9472" width="9.140625" style="2"/>
    <col min="9473" max="9503" width="4.85546875" style="2" customWidth="1"/>
    <col min="9504" max="9728" width="9.140625" style="2"/>
    <col min="9729" max="9759" width="4.85546875" style="2" customWidth="1"/>
    <col min="9760" max="9984" width="9.140625" style="2"/>
    <col min="9985" max="10015" width="4.85546875" style="2" customWidth="1"/>
    <col min="10016" max="10240" width="9.140625" style="2"/>
    <col min="10241" max="10271" width="4.85546875" style="2" customWidth="1"/>
    <col min="10272" max="10496" width="9.140625" style="2"/>
    <col min="10497" max="10527" width="4.85546875" style="2" customWidth="1"/>
    <col min="10528" max="10752" width="9.140625" style="2"/>
    <col min="10753" max="10783" width="4.85546875" style="2" customWidth="1"/>
    <col min="10784" max="11008" width="9.140625" style="2"/>
    <col min="11009" max="11039" width="4.85546875" style="2" customWidth="1"/>
    <col min="11040" max="11264" width="9.140625" style="2"/>
    <col min="11265" max="11295" width="4.85546875" style="2" customWidth="1"/>
    <col min="11296" max="11520" width="9.140625" style="2"/>
    <col min="11521" max="11551" width="4.85546875" style="2" customWidth="1"/>
    <col min="11552" max="11776" width="9.140625" style="2"/>
    <col min="11777" max="11807" width="4.85546875" style="2" customWidth="1"/>
    <col min="11808" max="12032" width="9.140625" style="2"/>
    <col min="12033" max="12063" width="4.85546875" style="2" customWidth="1"/>
    <col min="12064" max="12288" width="9.140625" style="2"/>
    <col min="12289" max="12319" width="4.85546875" style="2" customWidth="1"/>
    <col min="12320" max="12544" width="9.140625" style="2"/>
    <col min="12545" max="12575" width="4.85546875" style="2" customWidth="1"/>
    <col min="12576" max="12800" width="9.140625" style="2"/>
    <col min="12801" max="12831" width="4.85546875" style="2" customWidth="1"/>
    <col min="12832" max="13056" width="9.140625" style="2"/>
    <col min="13057" max="13087" width="4.85546875" style="2" customWidth="1"/>
    <col min="13088" max="13312" width="9.140625" style="2"/>
    <col min="13313" max="13343" width="4.85546875" style="2" customWidth="1"/>
    <col min="13344" max="13568" width="9.140625" style="2"/>
    <col min="13569" max="13599" width="4.85546875" style="2" customWidth="1"/>
    <col min="13600" max="13824" width="9.140625" style="2"/>
    <col min="13825" max="13855" width="4.85546875" style="2" customWidth="1"/>
    <col min="13856" max="14080" width="9.140625" style="2"/>
    <col min="14081" max="14111" width="4.85546875" style="2" customWidth="1"/>
    <col min="14112" max="14336" width="9.140625" style="2"/>
    <col min="14337" max="14367" width="4.85546875" style="2" customWidth="1"/>
    <col min="14368" max="14592" width="9.140625" style="2"/>
    <col min="14593" max="14623" width="4.85546875" style="2" customWidth="1"/>
    <col min="14624" max="14848" width="9.140625" style="2"/>
    <col min="14849" max="14879" width="4.85546875" style="2" customWidth="1"/>
    <col min="14880" max="15104" width="9.140625" style="2"/>
    <col min="15105" max="15135" width="4.85546875" style="2" customWidth="1"/>
    <col min="15136" max="15360" width="9.140625" style="2"/>
    <col min="15361" max="15391" width="4.85546875" style="2" customWidth="1"/>
    <col min="15392" max="15616" width="9.140625" style="2"/>
    <col min="15617" max="15647" width="4.85546875" style="2" customWidth="1"/>
    <col min="15648" max="15872" width="9.140625" style="2"/>
    <col min="15873" max="15903" width="4.85546875" style="2" customWidth="1"/>
    <col min="15904" max="16128" width="9.140625" style="2"/>
    <col min="16129" max="16159" width="4.85546875" style="2" customWidth="1"/>
    <col min="16160" max="16384" width="9.140625" style="2"/>
  </cols>
  <sheetData>
    <row r="1" spans="1:31">
      <c r="A1" s="163" t="s">
        <v>57</v>
      </c>
      <c r="B1" s="164"/>
      <c r="C1" s="164"/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164"/>
      <c r="O1" s="164"/>
      <c r="P1" s="164"/>
      <c r="Q1" s="164"/>
      <c r="R1" s="164"/>
      <c r="S1" s="164"/>
      <c r="T1" s="164"/>
      <c r="U1" s="164"/>
      <c r="V1" s="164"/>
      <c r="W1" s="164"/>
      <c r="X1" s="164"/>
      <c r="Y1" s="164"/>
      <c r="Z1" s="164"/>
      <c r="AA1" s="164"/>
      <c r="AB1" s="164"/>
      <c r="AC1" s="164"/>
      <c r="AD1" s="164"/>
      <c r="AE1" s="165"/>
    </row>
    <row r="2" spans="1:31">
      <c r="A2" s="166"/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P2" s="167"/>
      <c r="Q2" s="167"/>
      <c r="R2" s="167"/>
      <c r="S2" s="167"/>
      <c r="T2" s="167"/>
      <c r="U2" s="167"/>
      <c r="V2" s="167"/>
      <c r="W2" s="167"/>
      <c r="X2" s="167"/>
      <c r="Y2" s="167"/>
      <c r="Z2" s="167"/>
      <c r="AA2" s="167"/>
      <c r="AB2" s="167"/>
      <c r="AC2" s="167"/>
      <c r="AD2" s="167"/>
      <c r="AE2" s="168"/>
    </row>
    <row r="3" spans="1:31">
      <c r="A3" s="3" t="s">
        <v>58</v>
      </c>
      <c r="B3" s="4"/>
      <c r="C3" s="20" t="s">
        <v>436</v>
      </c>
      <c r="D3" s="4"/>
      <c r="E3" s="4"/>
      <c r="F3" s="4"/>
      <c r="G3" s="4"/>
      <c r="H3" s="4"/>
      <c r="I3" s="4"/>
      <c r="J3" s="20" t="s">
        <v>60</v>
      </c>
      <c r="K3" s="4"/>
      <c r="L3" s="20" t="s">
        <v>437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20"/>
      <c r="Y3" s="169"/>
      <c r="Z3" s="169"/>
      <c r="AA3" s="169"/>
      <c r="AB3" s="169"/>
      <c r="AC3" s="169"/>
      <c r="AD3" s="169"/>
      <c r="AE3" s="170"/>
    </row>
    <row r="4" spans="1:31">
      <c r="A4" s="5">
        <v>26</v>
      </c>
      <c r="B4" s="5">
        <v>27</v>
      </c>
      <c r="C4" s="5">
        <v>28</v>
      </c>
      <c r="D4" s="5">
        <v>29</v>
      </c>
      <c r="E4" s="5">
        <v>30</v>
      </c>
      <c r="F4" s="5">
        <v>31</v>
      </c>
      <c r="G4" s="5">
        <v>1</v>
      </c>
      <c r="H4" s="5">
        <v>2</v>
      </c>
      <c r="I4" s="5">
        <v>3</v>
      </c>
      <c r="J4" s="5">
        <v>4</v>
      </c>
      <c r="K4" s="5">
        <v>5</v>
      </c>
      <c r="L4" s="5">
        <v>6</v>
      </c>
      <c r="M4" s="5">
        <v>7</v>
      </c>
      <c r="N4" s="5">
        <v>8</v>
      </c>
      <c r="O4" s="5">
        <v>9</v>
      </c>
      <c r="P4" s="5">
        <v>10</v>
      </c>
      <c r="Q4" s="5">
        <v>11</v>
      </c>
      <c r="R4" s="5">
        <v>12</v>
      </c>
      <c r="S4" s="5">
        <v>13</v>
      </c>
      <c r="T4" s="5">
        <v>14</v>
      </c>
      <c r="U4" s="5">
        <v>15</v>
      </c>
      <c r="V4" s="5">
        <v>16</v>
      </c>
      <c r="W4" s="5">
        <v>17</v>
      </c>
      <c r="X4" s="5">
        <v>18</v>
      </c>
      <c r="Y4" s="5">
        <v>19</v>
      </c>
      <c r="Z4" s="5">
        <v>20</v>
      </c>
      <c r="AA4" s="5"/>
      <c r="AB4" s="5"/>
      <c r="AC4" s="5"/>
      <c r="AD4" s="5"/>
      <c r="AE4" s="5"/>
    </row>
    <row r="5" spans="1:31">
      <c r="A5" s="6" t="s">
        <v>61</v>
      </c>
      <c r="B5" s="7"/>
      <c r="C5" s="8" t="s">
        <v>62</v>
      </c>
      <c r="D5" s="7"/>
      <c r="E5" s="7"/>
      <c r="F5" s="7"/>
      <c r="G5" s="7"/>
      <c r="H5" s="7"/>
      <c r="I5" s="7" t="s">
        <v>63</v>
      </c>
      <c r="J5" s="7"/>
      <c r="K5" s="7" t="s">
        <v>64</v>
      </c>
      <c r="L5" s="7"/>
      <c r="M5" s="7"/>
      <c r="N5" s="7"/>
      <c r="O5" s="7"/>
      <c r="P5" s="7"/>
      <c r="Q5" s="7"/>
      <c r="R5" s="7"/>
      <c r="S5" s="7" t="s">
        <v>65</v>
      </c>
      <c r="T5" s="7"/>
      <c r="U5" s="7" t="s">
        <v>66</v>
      </c>
      <c r="V5" s="7"/>
      <c r="W5" s="7"/>
      <c r="X5" s="7"/>
      <c r="Y5" s="7"/>
      <c r="Z5" s="7"/>
      <c r="AA5" s="7"/>
      <c r="AB5" s="7"/>
      <c r="AC5" s="7"/>
      <c r="AD5" s="7"/>
      <c r="AE5" s="9"/>
    </row>
    <row r="6" spans="1:31" ht="22.5">
      <c r="A6" s="10" t="s">
        <v>67</v>
      </c>
      <c r="B6" s="10" t="s">
        <v>68</v>
      </c>
      <c r="C6" s="10" t="s">
        <v>69</v>
      </c>
      <c r="D6" s="10"/>
      <c r="E6" s="10"/>
      <c r="F6" s="10" t="s">
        <v>70</v>
      </c>
      <c r="G6" s="10"/>
      <c r="H6" s="10" t="s">
        <v>71</v>
      </c>
      <c r="I6" s="10" t="s">
        <v>72</v>
      </c>
      <c r="J6" s="10" t="s">
        <v>73</v>
      </c>
      <c r="K6" s="10" t="s">
        <v>74</v>
      </c>
      <c r="L6" s="10"/>
      <c r="M6" s="10"/>
      <c r="N6" s="10"/>
      <c r="O6" s="10" t="s">
        <v>75</v>
      </c>
      <c r="P6" s="10" t="s">
        <v>438</v>
      </c>
      <c r="Q6" s="10" t="s">
        <v>439</v>
      </c>
      <c r="R6" s="10" t="s">
        <v>440</v>
      </c>
      <c r="S6" s="10" t="s">
        <v>441</v>
      </c>
      <c r="T6" s="10" t="s">
        <v>442</v>
      </c>
      <c r="U6" s="10"/>
      <c r="V6" s="10" t="s">
        <v>443</v>
      </c>
      <c r="W6" s="10"/>
      <c r="X6" s="10" t="s">
        <v>444</v>
      </c>
      <c r="Y6" s="10" t="s">
        <v>445</v>
      </c>
      <c r="Z6" s="10" t="s">
        <v>446</v>
      </c>
      <c r="AA6" s="10"/>
      <c r="AB6" s="10"/>
      <c r="AC6" s="10"/>
      <c r="AD6" s="10"/>
      <c r="AE6" s="10"/>
    </row>
    <row r="7" spans="1:31">
      <c r="A7" s="6" t="s">
        <v>61</v>
      </c>
      <c r="B7" s="7"/>
      <c r="C7" s="8" t="s">
        <v>76</v>
      </c>
      <c r="D7" s="7"/>
      <c r="E7" s="7"/>
      <c r="F7" s="7"/>
      <c r="G7" s="7"/>
      <c r="H7" s="7"/>
      <c r="I7" s="7" t="s">
        <v>63</v>
      </c>
      <c r="J7" s="7"/>
      <c r="K7" s="7" t="s">
        <v>77</v>
      </c>
      <c r="L7" s="7"/>
      <c r="M7" s="7"/>
      <c r="N7" s="7"/>
      <c r="O7" s="7"/>
      <c r="P7" s="7"/>
      <c r="Q7" s="7"/>
      <c r="R7" s="7"/>
      <c r="S7" s="7" t="s">
        <v>65</v>
      </c>
      <c r="T7" s="7"/>
      <c r="U7" s="7" t="s">
        <v>78</v>
      </c>
      <c r="V7" s="7"/>
      <c r="W7" s="7"/>
      <c r="X7" s="7"/>
      <c r="Y7" s="7"/>
      <c r="Z7" s="7"/>
      <c r="AA7" s="7"/>
      <c r="AB7" s="7"/>
      <c r="AC7" s="7"/>
      <c r="AD7" s="7"/>
      <c r="AE7" s="9"/>
    </row>
    <row r="8" spans="1:31" ht="22.5">
      <c r="A8" s="10"/>
      <c r="B8" s="10"/>
      <c r="C8" s="10"/>
      <c r="D8" s="10"/>
      <c r="E8" s="10" t="s">
        <v>79</v>
      </c>
      <c r="F8" s="10" t="s">
        <v>80</v>
      </c>
      <c r="G8" s="10"/>
      <c r="H8" s="10" t="s">
        <v>81</v>
      </c>
      <c r="I8" s="10" t="s">
        <v>82</v>
      </c>
      <c r="J8" s="10" t="s">
        <v>83</v>
      </c>
      <c r="K8" s="10" t="s">
        <v>84</v>
      </c>
      <c r="L8" s="10"/>
      <c r="M8" s="10"/>
      <c r="N8" s="10"/>
      <c r="O8" s="10" t="s">
        <v>85</v>
      </c>
      <c r="P8" s="10" t="s">
        <v>447</v>
      </c>
      <c r="Q8" s="10" t="s">
        <v>448</v>
      </c>
      <c r="R8" s="10" t="s">
        <v>449</v>
      </c>
      <c r="S8" s="10" t="s">
        <v>450</v>
      </c>
      <c r="T8" s="10" t="s">
        <v>451</v>
      </c>
      <c r="U8" s="10"/>
      <c r="V8" s="10" t="s">
        <v>452</v>
      </c>
      <c r="W8" s="10" t="s">
        <v>453</v>
      </c>
      <c r="X8" s="10" t="s">
        <v>283</v>
      </c>
      <c r="Y8" s="10"/>
      <c r="Z8" s="10"/>
      <c r="AA8" s="10"/>
      <c r="AB8" s="10"/>
      <c r="AC8" s="10"/>
      <c r="AD8" s="10"/>
      <c r="AE8" s="10"/>
    </row>
    <row r="9" spans="1:31">
      <c r="A9" s="6" t="s">
        <v>61</v>
      </c>
      <c r="B9" s="7"/>
      <c r="C9" s="8" t="s">
        <v>86</v>
      </c>
      <c r="D9" s="7"/>
      <c r="E9" s="7"/>
      <c r="F9" s="7"/>
      <c r="G9" s="7"/>
      <c r="H9" s="7"/>
      <c r="I9" s="7" t="s">
        <v>63</v>
      </c>
      <c r="J9" s="7"/>
      <c r="K9" s="7" t="s">
        <v>87</v>
      </c>
      <c r="L9" s="7"/>
      <c r="M9" s="7"/>
      <c r="N9" s="7"/>
      <c r="O9" s="7"/>
      <c r="P9" s="7"/>
      <c r="Q9" s="7"/>
      <c r="R9" s="7"/>
      <c r="S9" s="7" t="s">
        <v>65</v>
      </c>
      <c r="T9" s="7"/>
      <c r="U9" s="7" t="s">
        <v>88</v>
      </c>
      <c r="V9" s="7"/>
      <c r="W9" s="7"/>
      <c r="X9" s="7"/>
      <c r="Y9" s="7"/>
      <c r="Z9" s="7"/>
      <c r="AA9" s="7"/>
      <c r="AB9" s="7"/>
      <c r="AC9" s="7"/>
      <c r="AD9" s="7"/>
      <c r="AE9" s="9"/>
    </row>
    <row r="10" spans="1:3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</row>
    <row r="11" spans="1:31">
      <c r="A11" s="6" t="s">
        <v>61</v>
      </c>
      <c r="B11" s="7"/>
      <c r="C11" s="8" t="s">
        <v>89</v>
      </c>
      <c r="D11" s="7"/>
      <c r="E11" s="7"/>
      <c r="F11" s="7"/>
      <c r="G11" s="7"/>
      <c r="H11" s="7"/>
      <c r="I11" s="7" t="s">
        <v>63</v>
      </c>
      <c r="J11" s="7"/>
      <c r="K11" s="7" t="s">
        <v>90</v>
      </c>
      <c r="L11" s="7"/>
      <c r="M11" s="7"/>
      <c r="N11" s="7"/>
      <c r="O11" s="7"/>
      <c r="P11" s="7"/>
      <c r="Q11" s="7"/>
      <c r="R11" s="7"/>
      <c r="S11" s="7" t="s">
        <v>65</v>
      </c>
      <c r="T11" s="7"/>
      <c r="U11" s="7" t="s">
        <v>91</v>
      </c>
      <c r="V11" s="7"/>
      <c r="W11" s="7"/>
      <c r="X11" s="7"/>
      <c r="Y11" s="7"/>
      <c r="Z11" s="7"/>
      <c r="AA11" s="7"/>
      <c r="AB11" s="7"/>
      <c r="AC11" s="7"/>
      <c r="AD11" s="7"/>
      <c r="AE11" s="9"/>
    </row>
    <row r="12" spans="1:31" ht="22.5">
      <c r="A12" s="10"/>
      <c r="B12" s="10"/>
      <c r="C12" s="10"/>
      <c r="D12" s="10"/>
      <c r="E12" s="10"/>
      <c r="F12" s="10"/>
      <c r="G12" s="10"/>
      <c r="H12" s="10" t="s">
        <v>92</v>
      </c>
      <c r="I12" s="10" t="s">
        <v>93</v>
      </c>
      <c r="J12" s="10" t="s">
        <v>94</v>
      </c>
      <c r="K12" s="10" t="s">
        <v>95</v>
      </c>
      <c r="L12" s="10"/>
      <c r="M12" s="10"/>
      <c r="N12" s="10"/>
      <c r="O12" s="10" t="s">
        <v>96</v>
      </c>
      <c r="P12" s="10" t="s">
        <v>454</v>
      </c>
      <c r="Q12" s="10"/>
      <c r="R12" s="10"/>
      <c r="S12" s="10"/>
      <c r="T12" s="10" t="s">
        <v>455</v>
      </c>
      <c r="U12" s="10"/>
      <c r="V12" s="10" t="s">
        <v>456</v>
      </c>
      <c r="W12" s="10" t="s">
        <v>457</v>
      </c>
      <c r="X12" s="10" t="s">
        <v>458</v>
      </c>
      <c r="Y12" s="10" t="s">
        <v>459</v>
      </c>
      <c r="Z12" s="10" t="s">
        <v>138</v>
      </c>
      <c r="AA12" s="10"/>
      <c r="AB12" s="10"/>
      <c r="AC12" s="10"/>
      <c r="AD12" s="10"/>
      <c r="AE12" s="10"/>
    </row>
    <row r="13" spans="1:31">
      <c r="A13" s="6" t="s">
        <v>61</v>
      </c>
      <c r="B13" s="7"/>
      <c r="C13" s="8" t="s">
        <v>97</v>
      </c>
      <c r="D13" s="7"/>
      <c r="E13" s="7"/>
      <c r="F13" s="7"/>
      <c r="G13" s="7"/>
      <c r="H13" s="7"/>
      <c r="I13" s="7" t="s">
        <v>63</v>
      </c>
      <c r="J13" s="7"/>
      <c r="K13" s="7" t="s">
        <v>98</v>
      </c>
      <c r="L13" s="7"/>
      <c r="M13" s="7"/>
      <c r="N13" s="7"/>
      <c r="O13" s="7"/>
      <c r="P13" s="7"/>
      <c r="Q13" s="7"/>
      <c r="R13" s="7"/>
      <c r="S13" s="7" t="s">
        <v>65</v>
      </c>
      <c r="T13" s="7"/>
      <c r="U13" s="7" t="s">
        <v>54</v>
      </c>
      <c r="V13" s="7"/>
      <c r="W13" s="7"/>
      <c r="X13" s="7"/>
      <c r="Y13" s="7"/>
      <c r="Z13" s="7"/>
      <c r="AA13" s="7"/>
      <c r="AB13" s="7"/>
      <c r="AC13" s="7"/>
      <c r="AD13" s="7"/>
      <c r="AE13" s="9"/>
    </row>
    <row r="14" spans="1:31" ht="67.5">
      <c r="A14" s="10" t="s">
        <v>99</v>
      </c>
      <c r="B14" s="10" t="s">
        <v>100</v>
      </c>
      <c r="C14" s="10" t="s">
        <v>101</v>
      </c>
      <c r="D14" s="10"/>
      <c r="E14" s="10" t="s">
        <v>102</v>
      </c>
      <c r="F14" s="10" t="s">
        <v>103</v>
      </c>
      <c r="G14" s="10"/>
      <c r="H14" s="10" t="s">
        <v>104</v>
      </c>
      <c r="I14" s="10" t="s">
        <v>105</v>
      </c>
      <c r="J14" s="10" t="s">
        <v>106</v>
      </c>
      <c r="K14" s="10" t="s">
        <v>107</v>
      </c>
      <c r="L14" s="10" t="s">
        <v>108</v>
      </c>
      <c r="M14" s="10"/>
      <c r="N14" s="10"/>
      <c r="O14" s="10" t="s">
        <v>109</v>
      </c>
      <c r="P14" s="10" t="s">
        <v>460</v>
      </c>
      <c r="Q14" s="10" t="s">
        <v>461</v>
      </c>
      <c r="R14" s="10" t="s">
        <v>462</v>
      </c>
      <c r="S14" s="10" t="s">
        <v>463</v>
      </c>
      <c r="T14" s="10" t="s">
        <v>464</v>
      </c>
      <c r="U14" s="10"/>
      <c r="V14" s="10" t="s">
        <v>465</v>
      </c>
      <c r="W14" s="10" t="s">
        <v>466</v>
      </c>
      <c r="X14" s="10" t="s">
        <v>467</v>
      </c>
      <c r="Y14" s="10" t="s">
        <v>468</v>
      </c>
      <c r="Z14" s="10" t="s">
        <v>110</v>
      </c>
      <c r="AA14" s="10"/>
      <c r="AB14" s="10"/>
      <c r="AC14" s="10"/>
      <c r="AD14" s="10"/>
      <c r="AE14" s="10"/>
    </row>
    <row r="15" spans="1:31">
      <c r="A15" s="6" t="s">
        <v>61</v>
      </c>
      <c r="B15" s="7"/>
      <c r="C15" s="8" t="s">
        <v>111</v>
      </c>
      <c r="D15" s="7"/>
      <c r="E15" s="7"/>
      <c r="F15" s="7"/>
      <c r="G15" s="7"/>
      <c r="H15" s="7"/>
      <c r="I15" s="7" t="s">
        <v>63</v>
      </c>
      <c r="J15" s="7"/>
      <c r="K15" s="7" t="s">
        <v>112</v>
      </c>
      <c r="L15" s="7"/>
      <c r="M15" s="7"/>
      <c r="N15" s="7"/>
      <c r="O15" s="7"/>
      <c r="P15" s="7"/>
      <c r="Q15" s="7"/>
      <c r="R15" s="7"/>
      <c r="S15" s="7" t="s">
        <v>65</v>
      </c>
      <c r="T15" s="7"/>
      <c r="U15" s="7" t="s">
        <v>113</v>
      </c>
      <c r="V15" s="7"/>
      <c r="W15" s="7"/>
      <c r="X15" s="7"/>
      <c r="Y15" s="7"/>
      <c r="Z15" s="7"/>
      <c r="AA15" s="7"/>
      <c r="AB15" s="7"/>
      <c r="AC15" s="7"/>
      <c r="AD15" s="7"/>
      <c r="AE15" s="9"/>
    </row>
    <row r="16" spans="1:31" ht="33.75">
      <c r="A16" s="10"/>
      <c r="B16" s="10" t="s">
        <v>114</v>
      </c>
      <c r="C16" s="10" t="s">
        <v>115</v>
      </c>
      <c r="D16" s="10" t="s">
        <v>116</v>
      </c>
      <c r="E16" s="10" t="s">
        <v>117</v>
      </c>
      <c r="F16" s="10" t="s">
        <v>118</v>
      </c>
      <c r="G16" s="10" t="s">
        <v>119</v>
      </c>
      <c r="H16" s="10" t="s">
        <v>120</v>
      </c>
      <c r="I16" s="10" t="s">
        <v>121</v>
      </c>
      <c r="J16" s="10" t="s">
        <v>122</v>
      </c>
      <c r="K16" s="10" t="s">
        <v>123</v>
      </c>
      <c r="L16" s="10"/>
      <c r="M16" s="10" t="s">
        <v>124</v>
      </c>
      <c r="N16" s="10" t="s">
        <v>125</v>
      </c>
      <c r="O16" s="10" t="s">
        <v>126</v>
      </c>
      <c r="P16" s="10" t="s">
        <v>469</v>
      </c>
      <c r="Q16" s="10" t="s">
        <v>470</v>
      </c>
      <c r="R16" s="10" t="s">
        <v>471</v>
      </c>
      <c r="S16" s="10" t="s">
        <v>472</v>
      </c>
      <c r="T16" s="10" t="s">
        <v>473</v>
      </c>
      <c r="U16" s="10" t="s">
        <v>474</v>
      </c>
      <c r="V16" s="10" t="s">
        <v>475</v>
      </c>
      <c r="W16" s="10" t="s">
        <v>476</v>
      </c>
      <c r="X16" s="10" t="s">
        <v>477</v>
      </c>
      <c r="Y16" s="10" t="s">
        <v>478</v>
      </c>
      <c r="Z16" s="10" t="s">
        <v>479</v>
      </c>
      <c r="AA16" s="10"/>
      <c r="AB16" s="10"/>
      <c r="AC16" s="10"/>
      <c r="AD16" s="10"/>
      <c r="AE16" s="10"/>
    </row>
    <row r="17" spans="1:31">
      <c r="A17" s="6" t="s">
        <v>61</v>
      </c>
      <c r="B17" s="7"/>
      <c r="C17" s="8" t="s">
        <v>127</v>
      </c>
      <c r="D17" s="7"/>
      <c r="E17" s="7"/>
      <c r="F17" s="7"/>
      <c r="G17" s="7"/>
      <c r="H17" s="7"/>
      <c r="I17" s="7" t="s">
        <v>63</v>
      </c>
      <c r="J17" s="7"/>
      <c r="K17" s="7" t="s">
        <v>128</v>
      </c>
      <c r="L17" s="7"/>
      <c r="M17" s="7"/>
      <c r="N17" s="7"/>
      <c r="O17" s="7"/>
      <c r="P17" s="7"/>
      <c r="Q17" s="7"/>
      <c r="R17" s="7"/>
      <c r="S17" s="7" t="s">
        <v>65</v>
      </c>
      <c r="T17" s="7"/>
      <c r="U17" s="7" t="s">
        <v>21</v>
      </c>
      <c r="V17" s="7"/>
      <c r="W17" s="7"/>
      <c r="X17" s="7"/>
      <c r="Y17" s="7"/>
      <c r="Z17" s="7"/>
      <c r="AA17" s="7"/>
      <c r="AB17" s="7"/>
      <c r="AC17" s="7"/>
      <c r="AD17" s="7"/>
      <c r="AE17" s="9"/>
    </row>
    <row r="18" spans="1:31" ht="56.25">
      <c r="A18" s="10" t="s">
        <v>129</v>
      </c>
      <c r="B18" s="10" t="s">
        <v>130</v>
      </c>
      <c r="C18" s="10" t="s">
        <v>131</v>
      </c>
      <c r="D18" s="10"/>
      <c r="E18" s="10" t="s">
        <v>132</v>
      </c>
      <c r="F18" s="10" t="s">
        <v>133</v>
      </c>
      <c r="G18" s="10"/>
      <c r="H18" s="10" t="s">
        <v>134</v>
      </c>
      <c r="I18" s="10" t="s">
        <v>135</v>
      </c>
      <c r="J18" s="10" t="s">
        <v>136</v>
      </c>
      <c r="K18" s="10" t="s">
        <v>137</v>
      </c>
      <c r="L18" s="10" t="s">
        <v>138</v>
      </c>
      <c r="M18" s="10"/>
      <c r="N18" s="10" t="s">
        <v>139</v>
      </c>
      <c r="O18" s="10" t="s">
        <v>140</v>
      </c>
      <c r="P18" s="10" t="s">
        <v>480</v>
      </c>
      <c r="Q18" s="10" t="s">
        <v>481</v>
      </c>
      <c r="R18" s="10" t="s">
        <v>482</v>
      </c>
      <c r="S18" s="10" t="s">
        <v>483</v>
      </c>
      <c r="T18" s="10"/>
      <c r="U18" s="10"/>
      <c r="V18" s="10" t="s">
        <v>484</v>
      </c>
      <c r="W18" s="10" t="s">
        <v>485</v>
      </c>
      <c r="X18" s="10" t="s">
        <v>486</v>
      </c>
      <c r="Y18" s="10" t="s">
        <v>487</v>
      </c>
      <c r="Z18" s="10" t="s">
        <v>488</v>
      </c>
      <c r="AA18" s="10"/>
      <c r="AB18" s="10"/>
      <c r="AC18" s="10"/>
      <c r="AD18" s="10"/>
      <c r="AE18" s="10"/>
    </row>
    <row r="19" spans="1:31">
      <c r="A19" s="6" t="s">
        <v>61</v>
      </c>
      <c r="B19" s="7"/>
      <c r="C19" s="8" t="s">
        <v>142</v>
      </c>
      <c r="D19" s="7"/>
      <c r="E19" s="7"/>
      <c r="F19" s="7"/>
      <c r="G19" s="7"/>
      <c r="H19" s="7"/>
      <c r="I19" s="7" t="s">
        <v>63</v>
      </c>
      <c r="J19" s="7"/>
      <c r="K19" s="7" t="s">
        <v>143</v>
      </c>
      <c r="L19" s="7"/>
      <c r="M19" s="7"/>
      <c r="N19" s="7"/>
      <c r="O19" s="7"/>
      <c r="P19" s="7"/>
      <c r="Q19" s="7"/>
      <c r="R19" s="7"/>
      <c r="S19" s="7" t="s">
        <v>65</v>
      </c>
      <c r="T19" s="7"/>
      <c r="U19" s="7" t="s">
        <v>21</v>
      </c>
      <c r="V19" s="7"/>
      <c r="W19" s="7"/>
      <c r="X19" s="7"/>
      <c r="Y19" s="7"/>
      <c r="Z19" s="7"/>
      <c r="AA19" s="7"/>
      <c r="AB19" s="7"/>
      <c r="AC19" s="7"/>
      <c r="AD19" s="7"/>
      <c r="AE19" s="9"/>
    </row>
    <row r="20" spans="1:31" ht="22.5">
      <c r="A20" s="10" t="s">
        <v>144</v>
      </c>
      <c r="B20" s="10" t="s">
        <v>145</v>
      </c>
      <c r="C20" s="10" t="s">
        <v>146</v>
      </c>
      <c r="D20" s="10"/>
      <c r="E20" s="10"/>
      <c r="F20" s="10"/>
      <c r="G20" s="10"/>
      <c r="H20" s="10"/>
      <c r="I20" s="10" t="s">
        <v>147</v>
      </c>
      <c r="J20" s="10" t="s">
        <v>148</v>
      </c>
      <c r="K20" s="10" t="s">
        <v>149</v>
      </c>
      <c r="L20" s="10"/>
      <c r="M20" s="10"/>
      <c r="N20" s="10"/>
      <c r="O20" s="10" t="s">
        <v>150</v>
      </c>
      <c r="P20" s="10" t="s">
        <v>299</v>
      </c>
      <c r="Q20" s="10" t="s">
        <v>489</v>
      </c>
      <c r="R20" s="10" t="s">
        <v>490</v>
      </c>
      <c r="S20" s="10" t="s">
        <v>491</v>
      </c>
      <c r="T20" s="10" t="s">
        <v>492</v>
      </c>
      <c r="U20" s="10"/>
      <c r="V20" s="10" t="s">
        <v>493</v>
      </c>
      <c r="W20" s="10" t="s">
        <v>494</v>
      </c>
      <c r="X20" s="10" t="s">
        <v>495</v>
      </c>
      <c r="Y20" s="10" t="s">
        <v>496</v>
      </c>
      <c r="Z20" s="10" t="s">
        <v>497</v>
      </c>
      <c r="AA20" s="10"/>
      <c r="AB20" s="10"/>
      <c r="AC20" s="10"/>
      <c r="AD20" s="10"/>
      <c r="AE20" s="10"/>
    </row>
    <row r="21" spans="1:31">
      <c r="A21" s="6" t="s">
        <v>61</v>
      </c>
      <c r="B21" s="7"/>
      <c r="C21" s="8" t="s">
        <v>151</v>
      </c>
      <c r="D21" s="7"/>
      <c r="E21" s="7"/>
      <c r="F21" s="7"/>
      <c r="G21" s="7"/>
      <c r="H21" s="7"/>
      <c r="I21" s="7" t="s">
        <v>63</v>
      </c>
      <c r="J21" s="7"/>
      <c r="K21" s="7" t="s">
        <v>152</v>
      </c>
      <c r="L21" s="7"/>
      <c r="M21" s="7"/>
      <c r="N21" s="7"/>
      <c r="O21" s="7"/>
      <c r="P21" s="7"/>
      <c r="Q21" s="7"/>
      <c r="R21" s="7"/>
      <c r="S21" s="7" t="s">
        <v>65</v>
      </c>
      <c r="T21" s="7"/>
      <c r="U21" s="7" t="s">
        <v>153</v>
      </c>
      <c r="V21" s="7"/>
      <c r="W21" s="7"/>
      <c r="X21" s="7"/>
      <c r="Y21" s="7"/>
      <c r="Z21" s="7"/>
      <c r="AA21" s="7"/>
      <c r="AB21" s="7"/>
      <c r="AC21" s="7"/>
      <c r="AD21" s="7"/>
      <c r="AE21" s="9"/>
    </row>
    <row r="22" spans="1:31" ht="78.75">
      <c r="A22" s="10" t="s">
        <v>154</v>
      </c>
      <c r="B22" s="10" t="s">
        <v>155</v>
      </c>
      <c r="C22" s="10" t="s">
        <v>156</v>
      </c>
      <c r="D22" s="10"/>
      <c r="E22" s="10" t="s">
        <v>157</v>
      </c>
      <c r="F22" s="10" t="s">
        <v>158</v>
      </c>
      <c r="G22" s="10"/>
      <c r="H22" s="10" t="s">
        <v>159</v>
      </c>
      <c r="I22" s="10" t="s">
        <v>160</v>
      </c>
      <c r="J22" s="10" t="s">
        <v>161</v>
      </c>
      <c r="K22" s="10" t="s">
        <v>162</v>
      </c>
      <c r="L22" s="10"/>
      <c r="M22" s="10"/>
      <c r="N22" s="10" t="s">
        <v>163</v>
      </c>
      <c r="O22" s="10" t="s">
        <v>164</v>
      </c>
      <c r="P22" s="10" t="s">
        <v>498</v>
      </c>
      <c r="Q22" s="10" t="s">
        <v>499</v>
      </c>
      <c r="R22" s="10" t="s">
        <v>500</v>
      </c>
      <c r="S22" s="10" t="s">
        <v>501</v>
      </c>
      <c r="T22" s="10" t="s">
        <v>502</v>
      </c>
      <c r="U22" s="10"/>
      <c r="V22" s="10" t="s">
        <v>503</v>
      </c>
      <c r="W22" s="10" t="s">
        <v>504</v>
      </c>
      <c r="X22" s="10" t="s">
        <v>505</v>
      </c>
      <c r="Y22" s="10" t="s">
        <v>506</v>
      </c>
      <c r="Z22" s="10" t="s">
        <v>507</v>
      </c>
      <c r="AA22" s="10"/>
      <c r="AB22" s="10"/>
      <c r="AC22" s="10"/>
      <c r="AD22" s="10"/>
      <c r="AE22" s="10"/>
    </row>
    <row r="23" spans="1:31">
      <c r="A23" s="6" t="s">
        <v>61</v>
      </c>
      <c r="B23" s="7"/>
      <c r="C23" s="8" t="s">
        <v>165</v>
      </c>
      <c r="D23" s="7"/>
      <c r="E23" s="7"/>
      <c r="F23" s="7"/>
      <c r="G23" s="7"/>
      <c r="H23" s="7"/>
      <c r="I23" s="7" t="s">
        <v>63</v>
      </c>
      <c r="J23" s="7"/>
      <c r="K23" s="7" t="s">
        <v>166</v>
      </c>
      <c r="L23" s="7"/>
      <c r="M23" s="7"/>
      <c r="N23" s="7"/>
      <c r="O23" s="7"/>
      <c r="P23" s="7"/>
      <c r="Q23" s="7"/>
      <c r="R23" s="7"/>
      <c r="S23" s="7" t="s">
        <v>65</v>
      </c>
      <c r="T23" s="7"/>
      <c r="U23" s="7" t="s">
        <v>153</v>
      </c>
      <c r="V23" s="7"/>
      <c r="W23" s="7"/>
      <c r="X23" s="7"/>
      <c r="Y23" s="7"/>
      <c r="Z23" s="7"/>
      <c r="AA23" s="7"/>
      <c r="AB23" s="7"/>
      <c r="AC23" s="7"/>
      <c r="AD23" s="7"/>
      <c r="AE23" s="9"/>
    </row>
    <row r="24" spans="1:31" ht="56.25">
      <c r="A24" s="10" t="s">
        <v>167</v>
      </c>
      <c r="B24" s="10" t="s">
        <v>168</v>
      </c>
      <c r="C24" s="10" t="s">
        <v>169</v>
      </c>
      <c r="D24" s="10"/>
      <c r="E24" s="10" t="s">
        <v>170</v>
      </c>
      <c r="F24" s="10" t="s">
        <v>171</v>
      </c>
      <c r="G24" s="10"/>
      <c r="H24" s="10" t="s">
        <v>172</v>
      </c>
      <c r="I24" s="10" t="s">
        <v>173</v>
      </c>
      <c r="J24" s="10" t="s">
        <v>174</v>
      </c>
      <c r="K24" s="10" t="s">
        <v>175</v>
      </c>
      <c r="L24" s="10"/>
      <c r="M24" s="10"/>
      <c r="N24" s="10" t="s">
        <v>176</v>
      </c>
      <c r="O24" s="10" t="s">
        <v>177</v>
      </c>
      <c r="P24" s="10"/>
      <c r="Q24" s="10" t="s">
        <v>221</v>
      </c>
      <c r="R24" s="10" t="s">
        <v>508</v>
      </c>
      <c r="S24" s="10" t="s">
        <v>509</v>
      </c>
      <c r="T24" s="10"/>
      <c r="U24" s="10"/>
      <c r="V24" s="10" t="s">
        <v>510</v>
      </c>
      <c r="W24" s="10" t="s">
        <v>511</v>
      </c>
      <c r="X24" s="10" t="s">
        <v>512</v>
      </c>
      <c r="Y24" s="10" t="s">
        <v>513</v>
      </c>
      <c r="Z24" s="10" t="s">
        <v>514</v>
      </c>
      <c r="AA24" s="10"/>
      <c r="AB24" s="10"/>
      <c r="AC24" s="10"/>
      <c r="AD24" s="10"/>
      <c r="AE24" s="10"/>
    </row>
    <row r="25" spans="1:31">
      <c r="A25" s="6" t="s">
        <v>61</v>
      </c>
      <c r="B25" s="7"/>
      <c r="C25" s="8" t="s">
        <v>178</v>
      </c>
      <c r="D25" s="7"/>
      <c r="E25" s="7"/>
      <c r="F25" s="7"/>
      <c r="G25" s="7"/>
      <c r="H25" s="7"/>
      <c r="I25" s="7" t="s">
        <v>63</v>
      </c>
      <c r="J25" s="7"/>
      <c r="K25" s="7" t="s">
        <v>179</v>
      </c>
      <c r="L25" s="7"/>
      <c r="M25" s="7"/>
      <c r="N25" s="7"/>
      <c r="O25" s="7"/>
      <c r="P25" s="7"/>
      <c r="Q25" s="7"/>
      <c r="R25" s="7"/>
      <c r="S25" s="7" t="s">
        <v>65</v>
      </c>
      <c r="T25" s="7"/>
      <c r="U25" s="7" t="s">
        <v>11</v>
      </c>
      <c r="V25" s="7"/>
      <c r="W25" s="7"/>
      <c r="X25" s="7"/>
      <c r="Y25" s="7"/>
      <c r="Z25" s="7"/>
      <c r="AA25" s="7"/>
      <c r="AB25" s="7"/>
      <c r="AC25" s="7"/>
      <c r="AD25" s="7"/>
      <c r="AE25" s="9"/>
    </row>
    <row r="26" spans="1:31" ht="33.75">
      <c r="A26" s="10" t="s">
        <v>180</v>
      </c>
      <c r="B26" s="10" t="s">
        <v>181</v>
      </c>
      <c r="C26" s="10" t="s">
        <v>182</v>
      </c>
      <c r="D26" s="10" t="s">
        <v>183</v>
      </c>
      <c r="E26" s="10" t="s">
        <v>184</v>
      </c>
      <c r="F26" s="10" t="s">
        <v>185</v>
      </c>
      <c r="G26" s="10" t="s">
        <v>186</v>
      </c>
      <c r="H26" s="10" t="s">
        <v>187</v>
      </c>
      <c r="I26" s="10" t="s">
        <v>188</v>
      </c>
      <c r="J26" s="10" t="s">
        <v>189</v>
      </c>
      <c r="K26" s="10" t="s">
        <v>190</v>
      </c>
      <c r="L26" s="10"/>
      <c r="M26" s="10"/>
      <c r="N26" s="10"/>
      <c r="O26" s="10" t="s">
        <v>191</v>
      </c>
      <c r="P26" s="10" t="s">
        <v>515</v>
      </c>
      <c r="Q26" s="10" t="s">
        <v>516</v>
      </c>
      <c r="R26" s="10" t="s">
        <v>517</v>
      </c>
      <c r="S26" s="10" t="s">
        <v>518</v>
      </c>
      <c r="T26" s="10" t="s">
        <v>519</v>
      </c>
      <c r="U26" s="10" t="s">
        <v>520</v>
      </c>
      <c r="V26" s="10" t="s">
        <v>521</v>
      </c>
      <c r="W26" s="10" t="s">
        <v>522</v>
      </c>
      <c r="X26" s="10" t="s">
        <v>523</v>
      </c>
      <c r="Y26" s="10" t="s">
        <v>524</v>
      </c>
      <c r="Z26" s="10" t="s">
        <v>525</v>
      </c>
      <c r="AA26" s="10"/>
      <c r="AB26" s="10"/>
      <c r="AC26" s="10"/>
      <c r="AD26" s="10"/>
      <c r="AE26" s="10"/>
    </row>
    <row r="27" spans="1:31">
      <c r="A27" s="6" t="s">
        <v>61</v>
      </c>
      <c r="B27" s="7"/>
      <c r="C27" s="8" t="s">
        <v>192</v>
      </c>
      <c r="D27" s="7"/>
      <c r="E27" s="7"/>
      <c r="F27" s="7"/>
      <c r="G27" s="7"/>
      <c r="H27" s="7"/>
      <c r="I27" s="7" t="s">
        <v>63</v>
      </c>
      <c r="J27" s="7"/>
      <c r="K27" s="7" t="s">
        <v>193</v>
      </c>
      <c r="L27" s="7"/>
      <c r="M27" s="7"/>
      <c r="N27" s="7"/>
      <c r="O27" s="7"/>
      <c r="P27" s="7"/>
      <c r="Q27" s="7"/>
      <c r="R27" s="7"/>
      <c r="S27" s="7" t="s">
        <v>65</v>
      </c>
      <c r="T27" s="7"/>
      <c r="U27" s="7" t="s">
        <v>194</v>
      </c>
      <c r="V27" s="7"/>
      <c r="W27" s="7"/>
      <c r="X27" s="7"/>
      <c r="Y27" s="7"/>
      <c r="Z27" s="7"/>
      <c r="AA27" s="7"/>
      <c r="AB27" s="7"/>
      <c r="AC27" s="7"/>
      <c r="AD27" s="7"/>
      <c r="AE27" s="9"/>
    </row>
    <row r="28" spans="1:31" ht="33.75">
      <c r="A28" s="10" t="s">
        <v>195</v>
      </c>
      <c r="B28" s="10" t="s">
        <v>196</v>
      </c>
      <c r="C28" s="10" t="s">
        <v>197</v>
      </c>
      <c r="D28" s="10"/>
      <c r="E28" s="10" t="s">
        <v>198</v>
      </c>
      <c r="F28" s="10" t="s">
        <v>199</v>
      </c>
      <c r="G28" s="10"/>
      <c r="H28" s="10" t="s">
        <v>200</v>
      </c>
      <c r="I28" s="10" t="s">
        <v>201</v>
      </c>
      <c r="J28" s="10" t="s">
        <v>202</v>
      </c>
      <c r="K28" s="10" t="s">
        <v>203</v>
      </c>
      <c r="L28" s="10" t="s">
        <v>138</v>
      </c>
      <c r="M28" s="10"/>
      <c r="N28" s="10"/>
      <c r="O28" s="10" t="s">
        <v>204</v>
      </c>
      <c r="P28" s="10" t="s">
        <v>526</v>
      </c>
      <c r="Q28" s="10" t="s">
        <v>527</v>
      </c>
      <c r="R28" s="10" t="s">
        <v>141</v>
      </c>
      <c r="S28" s="10" t="s">
        <v>528</v>
      </c>
      <c r="T28" s="10" t="s">
        <v>529</v>
      </c>
      <c r="U28" s="10"/>
      <c r="V28" s="10" t="s">
        <v>530</v>
      </c>
      <c r="W28" s="10" t="s">
        <v>531</v>
      </c>
      <c r="X28" s="10" t="s">
        <v>190</v>
      </c>
      <c r="Y28" s="10" t="s">
        <v>532</v>
      </c>
      <c r="Z28" s="10" t="s">
        <v>533</v>
      </c>
      <c r="AA28" s="10"/>
      <c r="AB28" s="10"/>
      <c r="AC28" s="10"/>
      <c r="AD28" s="10"/>
      <c r="AE28" s="10"/>
    </row>
    <row r="29" spans="1:31">
      <c r="A29" s="6" t="s">
        <v>61</v>
      </c>
      <c r="B29" s="7"/>
      <c r="C29" s="8" t="s">
        <v>205</v>
      </c>
      <c r="D29" s="7"/>
      <c r="E29" s="7"/>
      <c r="F29" s="7"/>
      <c r="G29" s="7"/>
      <c r="H29" s="7"/>
      <c r="I29" s="7" t="s">
        <v>63</v>
      </c>
      <c r="J29" s="7"/>
      <c r="K29" s="7" t="s">
        <v>206</v>
      </c>
      <c r="L29" s="7"/>
      <c r="M29" s="7"/>
      <c r="N29" s="7"/>
      <c r="O29" s="7"/>
      <c r="P29" s="7"/>
      <c r="Q29" s="7"/>
      <c r="R29" s="7"/>
      <c r="S29" s="7" t="s">
        <v>65</v>
      </c>
      <c r="T29" s="7"/>
      <c r="U29" s="7" t="s">
        <v>42</v>
      </c>
      <c r="V29" s="7"/>
      <c r="W29" s="7"/>
      <c r="X29" s="7"/>
      <c r="Y29" s="7"/>
      <c r="Z29" s="7"/>
      <c r="AA29" s="7"/>
      <c r="AB29" s="7"/>
      <c r="AC29" s="7"/>
      <c r="AD29" s="7"/>
      <c r="AE29" s="9"/>
    </row>
    <row r="30" spans="1:31" ht="33.75">
      <c r="A30" s="10" t="s">
        <v>207</v>
      </c>
      <c r="B30" s="10" t="s">
        <v>208</v>
      </c>
      <c r="C30" s="10" t="s">
        <v>209</v>
      </c>
      <c r="D30" s="10" t="s">
        <v>210</v>
      </c>
      <c r="E30" s="10" t="s">
        <v>211</v>
      </c>
      <c r="F30" s="10" t="s">
        <v>212</v>
      </c>
      <c r="G30" s="10" t="s">
        <v>213</v>
      </c>
      <c r="H30" s="10" t="s">
        <v>214</v>
      </c>
      <c r="I30" s="10" t="s">
        <v>215</v>
      </c>
      <c r="J30" s="10" t="s">
        <v>216</v>
      </c>
      <c r="K30" s="10" t="s">
        <v>217</v>
      </c>
      <c r="L30" s="10"/>
      <c r="M30" s="10" t="s">
        <v>218</v>
      </c>
      <c r="N30" s="10" t="s">
        <v>219</v>
      </c>
      <c r="O30" s="10" t="s">
        <v>220</v>
      </c>
      <c r="P30" s="10" t="s">
        <v>534</v>
      </c>
      <c r="Q30" s="10" t="s">
        <v>535</v>
      </c>
      <c r="R30" s="10" t="s">
        <v>536</v>
      </c>
      <c r="S30" s="10" t="s">
        <v>537</v>
      </c>
      <c r="T30" s="10" t="s">
        <v>538</v>
      </c>
      <c r="U30" s="10" t="s">
        <v>539</v>
      </c>
      <c r="V30" s="10" t="s">
        <v>540</v>
      </c>
      <c r="W30" s="10" t="s">
        <v>541</v>
      </c>
      <c r="X30" s="10" t="s">
        <v>542</v>
      </c>
      <c r="Y30" s="10" t="s">
        <v>543</v>
      </c>
      <c r="Z30" s="10" t="s">
        <v>479</v>
      </c>
      <c r="AA30" s="10"/>
      <c r="AB30" s="10"/>
      <c r="AC30" s="10"/>
      <c r="AD30" s="10"/>
      <c r="AE30" s="10"/>
    </row>
    <row r="31" spans="1:31">
      <c r="A31" s="6" t="s">
        <v>61</v>
      </c>
      <c r="B31" s="7"/>
      <c r="C31" s="8" t="s">
        <v>222</v>
      </c>
      <c r="D31" s="7"/>
      <c r="E31" s="7"/>
      <c r="F31" s="7"/>
      <c r="G31" s="7"/>
      <c r="H31" s="7"/>
      <c r="I31" s="7" t="s">
        <v>63</v>
      </c>
      <c r="J31" s="7"/>
      <c r="K31" s="7" t="s">
        <v>223</v>
      </c>
      <c r="L31" s="7"/>
      <c r="M31" s="7"/>
      <c r="N31" s="7"/>
      <c r="O31" s="7"/>
      <c r="P31" s="7"/>
      <c r="Q31" s="7"/>
      <c r="R31" s="7"/>
      <c r="S31" s="7" t="s">
        <v>65</v>
      </c>
      <c r="T31" s="7"/>
      <c r="U31" s="7" t="s">
        <v>224</v>
      </c>
      <c r="V31" s="7"/>
      <c r="W31" s="7"/>
      <c r="X31" s="7"/>
      <c r="Y31" s="7"/>
      <c r="Z31" s="7"/>
      <c r="AA31" s="7"/>
      <c r="AB31" s="7"/>
      <c r="AC31" s="7"/>
      <c r="AD31" s="7"/>
      <c r="AE31" s="9"/>
    </row>
    <row r="32" spans="1:31" ht="33.75">
      <c r="A32" s="10" t="s">
        <v>225</v>
      </c>
      <c r="B32" s="10" t="s">
        <v>226</v>
      </c>
      <c r="C32" s="10" t="s">
        <v>227</v>
      </c>
      <c r="D32" s="10"/>
      <c r="E32" s="10" t="s">
        <v>228</v>
      </c>
      <c r="F32" s="10" t="s">
        <v>229</v>
      </c>
      <c r="G32" s="10"/>
      <c r="H32" s="10" t="s">
        <v>230</v>
      </c>
      <c r="I32" s="10" t="s">
        <v>231</v>
      </c>
      <c r="J32" s="10"/>
      <c r="K32" s="10"/>
      <c r="L32" s="10"/>
      <c r="M32" s="10"/>
      <c r="N32" s="10"/>
      <c r="O32" s="10"/>
      <c r="P32" s="10"/>
      <c r="Q32" s="10"/>
      <c r="R32" s="10"/>
      <c r="S32" s="10" t="s">
        <v>544</v>
      </c>
      <c r="T32" s="10" t="s">
        <v>324</v>
      </c>
      <c r="U32" s="10"/>
      <c r="V32" s="10" t="s">
        <v>545</v>
      </c>
      <c r="W32" s="10" t="s">
        <v>546</v>
      </c>
      <c r="X32" s="10" t="s">
        <v>547</v>
      </c>
      <c r="Y32" s="10" t="s">
        <v>548</v>
      </c>
      <c r="Z32" s="10" t="s">
        <v>81</v>
      </c>
      <c r="AA32" s="10"/>
      <c r="AB32" s="10"/>
      <c r="AC32" s="10"/>
      <c r="AD32" s="10"/>
      <c r="AE32" s="10"/>
    </row>
    <row r="33" spans="1:31">
      <c r="A33" s="6" t="s">
        <v>61</v>
      </c>
      <c r="B33" s="7"/>
      <c r="C33" s="8" t="s">
        <v>232</v>
      </c>
      <c r="D33" s="7"/>
      <c r="E33" s="7"/>
      <c r="F33" s="7"/>
      <c r="G33" s="7"/>
      <c r="H33" s="7"/>
      <c r="I33" s="7" t="s">
        <v>63</v>
      </c>
      <c r="J33" s="7"/>
      <c r="K33" s="7" t="s">
        <v>233</v>
      </c>
      <c r="L33" s="7"/>
      <c r="M33" s="7"/>
      <c r="N33" s="7"/>
      <c r="O33" s="7"/>
      <c r="P33" s="7"/>
      <c r="Q33" s="7"/>
      <c r="R33" s="7"/>
      <c r="S33" s="7" t="s">
        <v>65</v>
      </c>
      <c r="T33" s="7"/>
      <c r="U33" s="7" t="s">
        <v>13</v>
      </c>
      <c r="V33" s="7"/>
      <c r="W33" s="7"/>
      <c r="X33" s="7"/>
      <c r="Y33" s="7"/>
      <c r="Z33" s="7"/>
      <c r="AA33" s="7"/>
      <c r="AB33" s="7"/>
      <c r="AC33" s="7"/>
      <c r="AD33" s="7"/>
      <c r="AE33" s="9"/>
    </row>
    <row r="34" spans="1:31" ht="45">
      <c r="A34" s="10"/>
      <c r="B34" s="10" t="s">
        <v>234</v>
      </c>
      <c r="C34" s="10" t="s">
        <v>235</v>
      </c>
      <c r="D34" s="10"/>
      <c r="E34" s="10" t="s">
        <v>236</v>
      </c>
      <c r="F34" s="10" t="s">
        <v>237</v>
      </c>
      <c r="G34" s="10"/>
      <c r="H34" s="10" t="s">
        <v>238</v>
      </c>
      <c r="I34" s="10" t="s">
        <v>239</v>
      </c>
      <c r="J34" s="10" t="s">
        <v>240</v>
      </c>
      <c r="K34" s="10" t="s">
        <v>241</v>
      </c>
      <c r="L34" s="10"/>
      <c r="M34" s="10"/>
      <c r="N34" s="10"/>
      <c r="O34" s="10" t="s">
        <v>242</v>
      </c>
      <c r="P34" s="10"/>
      <c r="Q34" s="10"/>
      <c r="R34" s="10"/>
      <c r="S34" s="10"/>
      <c r="T34" s="10"/>
      <c r="U34" s="10"/>
      <c r="V34" s="10" t="s">
        <v>549</v>
      </c>
      <c r="W34" s="10" t="s">
        <v>546</v>
      </c>
      <c r="X34" s="10" t="s">
        <v>550</v>
      </c>
      <c r="Y34" s="10" t="s">
        <v>551</v>
      </c>
      <c r="Z34" s="10" t="s">
        <v>81</v>
      </c>
      <c r="AA34" s="10"/>
      <c r="AB34" s="10"/>
      <c r="AC34" s="10"/>
      <c r="AD34" s="10"/>
      <c r="AE34" s="10"/>
    </row>
    <row r="35" spans="1:31">
      <c r="A35" s="6" t="s">
        <v>61</v>
      </c>
      <c r="B35" s="7"/>
      <c r="C35" s="8" t="s">
        <v>243</v>
      </c>
      <c r="D35" s="7"/>
      <c r="E35" s="7"/>
      <c r="F35" s="7"/>
      <c r="G35" s="7"/>
      <c r="H35" s="7"/>
      <c r="I35" s="7" t="s">
        <v>63</v>
      </c>
      <c r="J35" s="7"/>
      <c r="K35" s="7" t="s">
        <v>244</v>
      </c>
      <c r="L35" s="7"/>
      <c r="M35" s="7"/>
      <c r="N35" s="7"/>
      <c r="O35" s="7"/>
      <c r="P35" s="7"/>
      <c r="Q35" s="7"/>
      <c r="R35" s="7"/>
      <c r="S35" s="7" t="s">
        <v>65</v>
      </c>
      <c r="T35" s="7"/>
      <c r="U35" s="7" t="s">
        <v>245</v>
      </c>
      <c r="V35" s="7"/>
      <c r="W35" s="7"/>
      <c r="X35" s="7"/>
      <c r="Y35" s="7"/>
      <c r="Z35" s="7"/>
      <c r="AA35" s="7"/>
      <c r="AB35" s="7"/>
      <c r="AC35" s="7"/>
      <c r="AD35" s="7"/>
      <c r="AE35" s="9"/>
    </row>
    <row r="36" spans="1:31" ht="33.75">
      <c r="A36" s="10" t="s">
        <v>246</v>
      </c>
      <c r="B36" s="10" t="s">
        <v>181</v>
      </c>
      <c r="C36" s="10" t="s">
        <v>247</v>
      </c>
      <c r="D36" s="10" t="s">
        <v>248</v>
      </c>
      <c r="E36" s="10" t="s">
        <v>249</v>
      </c>
      <c r="F36" s="10" t="s">
        <v>250</v>
      </c>
      <c r="G36" s="10"/>
      <c r="H36" s="10" t="s">
        <v>251</v>
      </c>
      <c r="I36" s="10" t="s">
        <v>252</v>
      </c>
      <c r="J36" s="10" t="s">
        <v>253</v>
      </c>
      <c r="K36" s="10"/>
      <c r="L36" s="10"/>
      <c r="M36" s="10"/>
      <c r="N36" s="10"/>
      <c r="O36" s="10"/>
      <c r="P36" s="10" t="s">
        <v>432</v>
      </c>
      <c r="Q36" s="10" t="s">
        <v>552</v>
      </c>
      <c r="R36" s="10" t="s">
        <v>553</v>
      </c>
      <c r="S36" s="10"/>
      <c r="T36" s="10" t="s">
        <v>554</v>
      </c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</row>
    <row r="37" spans="1:31">
      <c r="A37" s="6" t="s">
        <v>61</v>
      </c>
      <c r="B37" s="7"/>
      <c r="C37" s="8" t="s">
        <v>254</v>
      </c>
      <c r="D37" s="7"/>
      <c r="E37" s="7"/>
      <c r="F37" s="7"/>
      <c r="G37" s="7"/>
      <c r="H37" s="7"/>
      <c r="I37" s="7" t="s">
        <v>63</v>
      </c>
      <c r="J37" s="7"/>
      <c r="K37" s="7" t="s">
        <v>255</v>
      </c>
      <c r="L37" s="7"/>
      <c r="M37" s="7"/>
      <c r="N37" s="7"/>
      <c r="O37" s="7"/>
      <c r="P37" s="7"/>
      <c r="Q37" s="7"/>
      <c r="R37" s="7"/>
      <c r="S37" s="7" t="s">
        <v>65</v>
      </c>
      <c r="T37" s="7"/>
      <c r="U37" s="7" t="s">
        <v>8</v>
      </c>
      <c r="V37" s="7"/>
      <c r="W37" s="7"/>
      <c r="X37" s="7"/>
      <c r="Y37" s="7"/>
      <c r="Z37" s="7"/>
      <c r="AA37" s="7"/>
      <c r="AB37" s="7"/>
      <c r="AC37" s="7"/>
      <c r="AD37" s="7"/>
      <c r="AE37" s="9"/>
    </row>
    <row r="38" spans="1:31" ht="67.5">
      <c r="A38" s="10" t="s">
        <v>256</v>
      </c>
      <c r="B38" s="10" t="s">
        <v>257</v>
      </c>
      <c r="C38" s="10" t="s">
        <v>258</v>
      </c>
      <c r="D38" s="10" t="s">
        <v>259</v>
      </c>
      <c r="E38" s="10" t="s">
        <v>260</v>
      </c>
      <c r="F38" s="10" t="s">
        <v>261</v>
      </c>
      <c r="G38" s="10" t="s">
        <v>262</v>
      </c>
      <c r="H38" s="10" t="s">
        <v>263</v>
      </c>
      <c r="I38" s="10" t="s">
        <v>264</v>
      </c>
      <c r="J38" s="10" t="s">
        <v>265</v>
      </c>
      <c r="K38" s="10" t="s">
        <v>266</v>
      </c>
      <c r="L38" s="10"/>
      <c r="M38" s="10"/>
      <c r="N38" s="10"/>
      <c r="O38" s="10" t="s">
        <v>267</v>
      </c>
      <c r="P38" s="10" t="s">
        <v>555</v>
      </c>
      <c r="Q38" s="10" t="s">
        <v>556</v>
      </c>
      <c r="R38" s="10" t="s">
        <v>557</v>
      </c>
      <c r="S38" s="10" t="s">
        <v>558</v>
      </c>
      <c r="T38" s="10" t="s">
        <v>559</v>
      </c>
      <c r="U38" s="10" t="s">
        <v>560</v>
      </c>
      <c r="V38" s="10" t="s">
        <v>561</v>
      </c>
      <c r="W38" s="10" t="s">
        <v>562</v>
      </c>
      <c r="X38" s="10" t="s">
        <v>563</v>
      </c>
      <c r="Y38" s="10" t="s">
        <v>564</v>
      </c>
      <c r="Z38" s="10" t="s">
        <v>565</v>
      </c>
      <c r="AA38" s="10"/>
      <c r="AB38" s="10"/>
      <c r="AC38" s="10"/>
      <c r="AD38" s="10"/>
      <c r="AE38" s="10"/>
    </row>
    <row r="39" spans="1:31">
      <c r="A39" s="6" t="s">
        <v>61</v>
      </c>
      <c r="B39" s="7"/>
      <c r="C39" s="8" t="s">
        <v>268</v>
      </c>
      <c r="D39" s="7"/>
      <c r="E39" s="7"/>
      <c r="F39" s="7"/>
      <c r="G39" s="7"/>
      <c r="H39" s="7"/>
      <c r="I39" s="7" t="s">
        <v>63</v>
      </c>
      <c r="J39" s="7"/>
      <c r="K39" s="7" t="s">
        <v>269</v>
      </c>
      <c r="L39" s="7"/>
      <c r="M39" s="7"/>
      <c r="N39" s="7"/>
      <c r="O39" s="7"/>
      <c r="P39" s="7"/>
      <c r="Q39" s="7"/>
      <c r="R39" s="7"/>
      <c r="S39" s="7" t="s">
        <v>65</v>
      </c>
      <c r="T39" s="7"/>
      <c r="U39" s="7" t="s">
        <v>270</v>
      </c>
      <c r="V39" s="7"/>
      <c r="W39" s="7"/>
      <c r="X39" s="7"/>
      <c r="Y39" s="7"/>
      <c r="Z39" s="7"/>
      <c r="AA39" s="7"/>
      <c r="AB39" s="7"/>
      <c r="AC39" s="7"/>
      <c r="AD39" s="7"/>
      <c r="AE39" s="9"/>
    </row>
    <row r="40" spans="1:31" ht="22.5">
      <c r="A40" s="10" t="s">
        <v>271</v>
      </c>
      <c r="B40" s="10" t="s">
        <v>272</v>
      </c>
      <c r="C40" s="10" t="s">
        <v>273</v>
      </c>
      <c r="D40" s="10"/>
      <c r="E40" s="10" t="s">
        <v>274</v>
      </c>
      <c r="F40" s="10" t="s">
        <v>275</v>
      </c>
      <c r="G40" s="10" t="s">
        <v>276</v>
      </c>
      <c r="H40" s="10" t="s">
        <v>277</v>
      </c>
      <c r="I40" s="10" t="s">
        <v>278</v>
      </c>
      <c r="J40" s="10" t="s">
        <v>279</v>
      </c>
      <c r="K40" s="10" t="s">
        <v>280</v>
      </c>
      <c r="L40" s="10"/>
      <c r="M40" s="10" t="s">
        <v>281</v>
      </c>
      <c r="N40" s="10"/>
      <c r="O40" s="10" t="s">
        <v>282</v>
      </c>
      <c r="P40" s="10" t="s">
        <v>566</v>
      </c>
      <c r="Q40" s="10" t="s">
        <v>567</v>
      </c>
      <c r="R40" s="10" t="s">
        <v>568</v>
      </c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</row>
    <row r="41" spans="1:31">
      <c r="A41" s="6" t="s">
        <v>61</v>
      </c>
      <c r="B41" s="7"/>
      <c r="C41" s="8" t="s">
        <v>284</v>
      </c>
      <c r="D41" s="7"/>
      <c r="E41" s="7"/>
      <c r="F41" s="7"/>
      <c r="G41" s="7"/>
      <c r="H41" s="7"/>
      <c r="I41" s="7" t="s">
        <v>63</v>
      </c>
      <c r="J41" s="7"/>
      <c r="K41" s="7" t="s">
        <v>285</v>
      </c>
      <c r="L41" s="7"/>
      <c r="M41" s="7"/>
      <c r="N41" s="7"/>
      <c r="O41" s="7"/>
      <c r="P41" s="7"/>
      <c r="Q41" s="7"/>
      <c r="R41" s="7"/>
      <c r="S41" s="7" t="s">
        <v>65</v>
      </c>
      <c r="T41" s="7"/>
      <c r="U41" s="7" t="s">
        <v>270</v>
      </c>
      <c r="V41" s="7"/>
      <c r="W41" s="7"/>
      <c r="X41" s="7"/>
      <c r="Y41" s="7"/>
      <c r="Z41" s="7"/>
      <c r="AA41" s="7"/>
      <c r="AB41" s="7"/>
      <c r="AC41" s="7"/>
      <c r="AD41" s="7"/>
      <c r="AE41" s="9"/>
    </row>
    <row r="42" spans="1:31" ht="22.5">
      <c r="A42" s="10"/>
      <c r="B42" s="10"/>
      <c r="C42" s="10" t="s">
        <v>286</v>
      </c>
      <c r="D42" s="10"/>
      <c r="E42" s="10" t="s">
        <v>287</v>
      </c>
      <c r="F42" s="10" t="s">
        <v>288</v>
      </c>
      <c r="G42" s="10"/>
      <c r="H42" s="10" t="s">
        <v>289</v>
      </c>
      <c r="I42" s="10" t="s">
        <v>290</v>
      </c>
      <c r="J42" s="10" t="s">
        <v>291</v>
      </c>
      <c r="K42" s="10" t="s">
        <v>292</v>
      </c>
      <c r="L42" s="10"/>
      <c r="M42" s="10" t="s">
        <v>293</v>
      </c>
      <c r="N42" s="10"/>
      <c r="O42" s="10" t="s">
        <v>294</v>
      </c>
      <c r="P42" s="10" t="s">
        <v>569</v>
      </c>
      <c r="Q42" s="10" t="s">
        <v>313</v>
      </c>
      <c r="R42" s="10" t="s">
        <v>570</v>
      </c>
      <c r="S42" s="10" t="s">
        <v>571</v>
      </c>
      <c r="T42" s="10" t="s">
        <v>572</v>
      </c>
      <c r="U42" s="10"/>
      <c r="V42" s="10" t="s">
        <v>573</v>
      </c>
      <c r="W42" s="10" t="s">
        <v>574</v>
      </c>
      <c r="X42" s="10" t="s">
        <v>571</v>
      </c>
      <c r="Y42" s="10" t="s">
        <v>575</v>
      </c>
      <c r="Z42" s="10" t="s">
        <v>576</v>
      </c>
      <c r="AA42" s="10"/>
      <c r="AB42" s="10"/>
      <c r="AC42" s="10"/>
      <c r="AD42" s="10"/>
      <c r="AE42" s="10"/>
    </row>
    <row r="43" spans="1:31">
      <c r="A43" s="6" t="s">
        <v>61</v>
      </c>
      <c r="B43" s="7"/>
      <c r="C43" s="8" t="s">
        <v>295</v>
      </c>
      <c r="D43" s="7"/>
      <c r="E43" s="7"/>
      <c r="F43" s="7"/>
      <c r="G43" s="7"/>
      <c r="H43" s="7"/>
      <c r="I43" s="7" t="s">
        <v>63</v>
      </c>
      <c r="J43" s="7"/>
      <c r="K43" s="7" t="s">
        <v>296</v>
      </c>
      <c r="L43" s="7"/>
      <c r="M43" s="7"/>
      <c r="N43" s="7"/>
      <c r="O43" s="7"/>
      <c r="P43" s="7"/>
      <c r="Q43" s="7"/>
      <c r="R43" s="7"/>
      <c r="S43" s="7" t="s">
        <v>65</v>
      </c>
      <c r="T43" s="7"/>
      <c r="U43" s="7" t="s">
        <v>21</v>
      </c>
      <c r="V43" s="7"/>
      <c r="W43" s="7"/>
      <c r="X43" s="7"/>
      <c r="Y43" s="7"/>
      <c r="Z43" s="7"/>
      <c r="AA43" s="7"/>
      <c r="AB43" s="7"/>
      <c r="AC43" s="7"/>
      <c r="AD43" s="7"/>
      <c r="AE43" s="9"/>
    </row>
    <row r="44" spans="1:31" ht="33.75">
      <c r="A44" s="10"/>
      <c r="B44" s="10" t="s">
        <v>297</v>
      </c>
      <c r="C44" s="10" t="s">
        <v>298</v>
      </c>
      <c r="D44" s="10"/>
      <c r="E44" s="10" t="s">
        <v>299</v>
      </c>
      <c r="F44" s="10" t="s">
        <v>300</v>
      </c>
      <c r="G44" s="10" t="s">
        <v>301</v>
      </c>
      <c r="H44" s="10" t="s">
        <v>302</v>
      </c>
      <c r="I44" s="10" t="s">
        <v>303</v>
      </c>
      <c r="J44" s="10" t="s">
        <v>304</v>
      </c>
      <c r="K44" s="10" t="s">
        <v>305</v>
      </c>
      <c r="L44" s="10" t="s">
        <v>306</v>
      </c>
      <c r="M44" s="10"/>
      <c r="N44" s="10"/>
      <c r="O44" s="10" t="s">
        <v>307</v>
      </c>
      <c r="P44" s="10" t="s">
        <v>577</v>
      </c>
      <c r="Q44" s="10" t="s">
        <v>578</v>
      </c>
      <c r="R44" s="10" t="s">
        <v>579</v>
      </c>
      <c r="S44" s="10" t="s">
        <v>580</v>
      </c>
      <c r="T44" s="10" t="s">
        <v>581</v>
      </c>
      <c r="U44" s="10"/>
      <c r="V44" s="10" t="s">
        <v>582</v>
      </c>
      <c r="W44" s="10" t="s">
        <v>583</v>
      </c>
      <c r="X44" s="10" t="s">
        <v>584</v>
      </c>
      <c r="Y44" s="10" t="s">
        <v>585</v>
      </c>
      <c r="Z44" s="10" t="s">
        <v>586</v>
      </c>
      <c r="AA44" s="10"/>
      <c r="AB44" s="10"/>
      <c r="AC44" s="10"/>
      <c r="AD44" s="10"/>
      <c r="AE44" s="10"/>
    </row>
    <row r="45" spans="1:31">
      <c r="A45" s="6" t="s">
        <v>61</v>
      </c>
      <c r="B45" s="7"/>
      <c r="C45" s="8" t="s">
        <v>308</v>
      </c>
      <c r="D45" s="7"/>
      <c r="E45" s="7"/>
      <c r="F45" s="7"/>
      <c r="G45" s="7"/>
      <c r="H45" s="7"/>
      <c r="I45" s="7" t="s">
        <v>63</v>
      </c>
      <c r="J45" s="7"/>
      <c r="K45" s="7" t="s">
        <v>309</v>
      </c>
      <c r="L45" s="7"/>
      <c r="M45" s="7"/>
      <c r="N45" s="7"/>
      <c r="O45" s="7"/>
      <c r="P45" s="7"/>
      <c r="Q45" s="7"/>
      <c r="R45" s="7"/>
      <c r="S45" s="7" t="s">
        <v>65</v>
      </c>
      <c r="T45" s="7"/>
      <c r="U45" s="7" t="s">
        <v>21</v>
      </c>
      <c r="V45" s="7"/>
      <c r="W45" s="7"/>
      <c r="X45" s="7"/>
      <c r="Y45" s="7"/>
      <c r="Z45" s="7"/>
      <c r="AA45" s="7"/>
      <c r="AB45" s="7"/>
      <c r="AC45" s="7"/>
      <c r="AD45" s="7"/>
      <c r="AE45" s="9"/>
    </row>
    <row r="46" spans="1:31" ht="22.5">
      <c r="A46" s="10" t="s">
        <v>310</v>
      </c>
      <c r="B46" s="10" t="s">
        <v>311</v>
      </c>
      <c r="C46" s="10" t="s">
        <v>312</v>
      </c>
      <c r="D46" s="10"/>
      <c r="E46" s="10" t="s">
        <v>313</v>
      </c>
      <c r="F46" s="10" t="s">
        <v>314</v>
      </c>
      <c r="G46" s="10"/>
      <c r="H46" s="10" t="s">
        <v>315</v>
      </c>
      <c r="I46" s="10" t="s">
        <v>316</v>
      </c>
      <c r="J46" s="10" t="s">
        <v>317</v>
      </c>
      <c r="K46" s="10" t="s">
        <v>318</v>
      </c>
      <c r="L46" s="10"/>
      <c r="M46" s="10"/>
      <c r="N46" s="10"/>
      <c r="O46" s="10" t="s">
        <v>319</v>
      </c>
      <c r="P46" s="10" t="s">
        <v>587</v>
      </c>
      <c r="Q46" s="10" t="s">
        <v>588</v>
      </c>
      <c r="R46" s="10" t="s">
        <v>589</v>
      </c>
      <c r="S46" s="10"/>
      <c r="T46" s="10" t="s">
        <v>590</v>
      </c>
      <c r="U46" s="10"/>
      <c r="V46" s="10"/>
      <c r="W46" s="10"/>
      <c r="X46" s="10"/>
      <c r="Y46" s="10" t="s">
        <v>591</v>
      </c>
      <c r="Z46" s="10" t="s">
        <v>592</v>
      </c>
      <c r="AA46" s="10"/>
      <c r="AB46" s="10"/>
      <c r="AC46" s="10"/>
      <c r="AD46" s="10"/>
      <c r="AE46" s="10"/>
    </row>
    <row r="47" spans="1:31">
      <c r="A47" s="6" t="s">
        <v>61</v>
      </c>
      <c r="B47" s="7"/>
      <c r="C47" s="8" t="s">
        <v>320</v>
      </c>
      <c r="D47" s="7"/>
      <c r="E47" s="7"/>
      <c r="F47" s="7"/>
      <c r="G47" s="7"/>
      <c r="H47" s="7"/>
      <c r="I47" s="7" t="s">
        <v>63</v>
      </c>
      <c r="J47" s="7"/>
      <c r="K47" s="7" t="s">
        <v>321</v>
      </c>
      <c r="L47" s="7"/>
      <c r="M47" s="7"/>
      <c r="N47" s="7"/>
      <c r="O47" s="7"/>
      <c r="P47" s="7"/>
      <c r="Q47" s="7"/>
      <c r="R47" s="7"/>
      <c r="S47" s="7" t="s">
        <v>65</v>
      </c>
      <c r="T47" s="7"/>
      <c r="U47" s="7" t="s">
        <v>322</v>
      </c>
      <c r="V47" s="7"/>
      <c r="W47" s="7"/>
      <c r="X47" s="7"/>
      <c r="Y47" s="7"/>
      <c r="Z47" s="7"/>
      <c r="AA47" s="7"/>
      <c r="AB47" s="7"/>
      <c r="AC47" s="7"/>
      <c r="AD47" s="7"/>
      <c r="AE47" s="9"/>
    </row>
    <row r="48" spans="1:31" ht="22.5">
      <c r="A48" s="10"/>
      <c r="B48" s="10"/>
      <c r="C48" s="10"/>
      <c r="D48" s="10"/>
      <c r="E48" s="10"/>
      <c r="F48" s="10"/>
      <c r="G48" s="10"/>
      <c r="H48" s="10" t="s">
        <v>323</v>
      </c>
      <c r="I48" s="10" t="s">
        <v>324</v>
      </c>
      <c r="J48" s="10" t="s">
        <v>325</v>
      </c>
      <c r="K48" s="10" t="s">
        <v>221</v>
      </c>
      <c r="L48" s="10"/>
      <c r="M48" s="10"/>
      <c r="N48" s="10"/>
      <c r="O48" s="10" t="s">
        <v>326</v>
      </c>
      <c r="P48" s="10" t="s">
        <v>593</v>
      </c>
      <c r="Q48" s="10" t="s">
        <v>594</v>
      </c>
      <c r="R48" s="10" t="s">
        <v>595</v>
      </c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</row>
    <row r="49" spans="1:31">
      <c r="A49" s="6" t="s">
        <v>61</v>
      </c>
      <c r="B49" s="7"/>
      <c r="C49" s="8" t="s">
        <v>327</v>
      </c>
      <c r="D49" s="7"/>
      <c r="E49" s="7"/>
      <c r="F49" s="7"/>
      <c r="G49" s="7"/>
      <c r="H49" s="7"/>
      <c r="I49" s="7" t="s">
        <v>63</v>
      </c>
      <c r="J49" s="7"/>
      <c r="K49" s="7" t="s">
        <v>328</v>
      </c>
      <c r="L49" s="7"/>
      <c r="M49" s="7"/>
      <c r="N49" s="7"/>
      <c r="O49" s="7"/>
      <c r="P49" s="7"/>
      <c r="Q49" s="7"/>
      <c r="R49" s="7"/>
      <c r="S49" s="7" t="s">
        <v>65</v>
      </c>
      <c r="T49" s="7"/>
      <c r="U49" s="7" t="s">
        <v>322</v>
      </c>
      <c r="V49" s="7"/>
      <c r="W49" s="7"/>
      <c r="X49" s="7"/>
      <c r="Y49" s="7"/>
      <c r="Z49" s="7"/>
      <c r="AA49" s="7"/>
      <c r="AB49" s="7"/>
      <c r="AC49" s="7"/>
      <c r="AD49" s="7"/>
      <c r="AE49" s="9"/>
    </row>
    <row r="50" spans="1:31" ht="22.5">
      <c r="A50" s="10"/>
      <c r="B50" s="10"/>
      <c r="C50" s="10" t="s">
        <v>329</v>
      </c>
      <c r="D50" s="10" t="s">
        <v>330</v>
      </c>
      <c r="E50" s="10" t="s">
        <v>331</v>
      </c>
      <c r="F50" s="10" t="s">
        <v>332</v>
      </c>
      <c r="G50" s="10" t="s">
        <v>333</v>
      </c>
      <c r="H50" s="10" t="s">
        <v>334</v>
      </c>
      <c r="I50" s="10" t="s">
        <v>335</v>
      </c>
      <c r="J50" s="10" t="s">
        <v>283</v>
      </c>
      <c r="K50" s="10"/>
      <c r="L50" s="10"/>
      <c r="M50" s="10"/>
      <c r="N50" s="10"/>
      <c r="O50" s="10"/>
      <c r="P50" s="10" t="s">
        <v>596</v>
      </c>
      <c r="Q50" s="10" t="s">
        <v>597</v>
      </c>
      <c r="R50" s="10" t="s">
        <v>598</v>
      </c>
      <c r="S50" s="10" t="s">
        <v>599</v>
      </c>
      <c r="T50" s="10" t="s">
        <v>600</v>
      </c>
      <c r="U50" s="10"/>
      <c r="V50" s="10" t="s">
        <v>582</v>
      </c>
      <c r="W50" s="10" t="s">
        <v>601</v>
      </c>
      <c r="X50" s="10" t="s">
        <v>602</v>
      </c>
      <c r="Y50" s="10" t="s">
        <v>603</v>
      </c>
      <c r="Z50" s="10"/>
      <c r="AA50" s="10"/>
      <c r="AB50" s="10"/>
      <c r="AC50" s="10"/>
      <c r="AD50" s="10"/>
      <c r="AE50" s="10"/>
    </row>
    <row r="51" spans="1:31">
      <c r="A51" s="6" t="s">
        <v>61</v>
      </c>
      <c r="B51" s="7"/>
      <c r="C51" s="8" t="s">
        <v>336</v>
      </c>
      <c r="D51" s="7"/>
      <c r="E51" s="7"/>
      <c r="F51" s="7"/>
      <c r="G51" s="7"/>
      <c r="H51" s="7"/>
      <c r="I51" s="7" t="s">
        <v>63</v>
      </c>
      <c r="J51" s="7"/>
      <c r="K51" s="7" t="s">
        <v>337</v>
      </c>
      <c r="L51" s="7"/>
      <c r="M51" s="7"/>
      <c r="N51" s="7"/>
      <c r="O51" s="7"/>
      <c r="P51" s="7"/>
      <c r="Q51" s="7"/>
      <c r="R51" s="7"/>
      <c r="S51" s="7" t="s">
        <v>65</v>
      </c>
      <c r="T51" s="7"/>
      <c r="U51" s="7" t="s">
        <v>338</v>
      </c>
      <c r="V51" s="7"/>
      <c r="W51" s="7"/>
      <c r="X51" s="7"/>
      <c r="Y51" s="7"/>
      <c r="Z51" s="7"/>
      <c r="AA51" s="7"/>
      <c r="AB51" s="7"/>
      <c r="AC51" s="7"/>
      <c r="AD51" s="7"/>
      <c r="AE51" s="9"/>
    </row>
    <row r="52" spans="1:31" ht="22.5">
      <c r="A52" s="10" t="s">
        <v>339</v>
      </c>
      <c r="B52" s="10" t="s">
        <v>340</v>
      </c>
      <c r="C52" s="10" t="s">
        <v>341</v>
      </c>
      <c r="D52" s="10"/>
      <c r="E52" s="10" t="s">
        <v>342</v>
      </c>
      <c r="F52" s="10" t="s">
        <v>343</v>
      </c>
      <c r="G52" s="10"/>
      <c r="H52" s="10" t="s">
        <v>344</v>
      </c>
      <c r="I52" s="10" t="s">
        <v>345</v>
      </c>
      <c r="J52" s="10" t="s">
        <v>346</v>
      </c>
      <c r="K52" s="10" t="s">
        <v>290</v>
      </c>
      <c r="L52" s="10"/>
      <c r="M52" s="10" t="s">
        <v>347</v>
      </c>
      <c r="N52" s="10"/>
      <c r="O52" s="10" t="s">
        <v>348</v>
      </c>
      <c r="P52" s="10" t="s">
        <v>604</v>
      </c>
      <c r="Q52" s="10" t="s">
        <v>605</v>
      </c>
      <c r="R52" s="10" t="s">
        <v>606</v>
      </c>
      <c r="S52" s="10" t="s">
        <v>186</v>
      </c>
      <c r="T52" s="10" t="s">
        <v>607</v>
      </c>
      <c r="U52" s="10"/>
      <c r="V52" s="10" t="s">
        <v>276</v>
      </c>
      <c r="W52" s="10" t="s">
        <v>608</v>
      </c>
      <c r="X52" s="10" t="s">
        <v>609</v>
      </c>
      <c r="Y52" s="10" t="s">
        <v>610</v>
      </c>
      <c r="Z52" s="10" t="s">
        <v>611</v>
      </c>
      <c r="AA52" s="10"/>
      <c r="AB52" s="10"/>
      <c r="AC52" s="10"/>
      <c r="AD52" s="10"/>
      <c r="AE52" s="10"/>
    </row>
    <row r="53" spans="1:31">
      <c r="A53" s="6" t="s">
        <v>61</v>
      </c>
      <c r="B53" s="7"/>
      <c r="C53" s="8" t="s">
        <v>349</v>
      </c>
      <c r="D53" s="7"/>
      <c r="E53" s="7"/>
      <c r="F53" s="7"/>
      <c r="G53" s="7"/>
      <c r="H53" s="7"/>
      <c r="I53" s="7" t="s">
        <v>63</v>
      </c>
      <c r="J53" s="7"/>
      <c r="K53" s="7" t="s">
        <v>350</v>
      </c>
      <c r="L53" s="7"/>
      <c r="M53" s="7"/>
      <c r="N53" s="7"/>
      <c r="O53" s="7"/>
      <c r="P53" s="7"/>
      <c r="Q53" s="7"/>
      <c r="R53" s="7"/>
      <c r="S53" s="7" t="s">
        <v>65</v>
      </c>
      <c r="T53" s="7"/>
      <c r="U53" s="7" t="s">
        <v>351</v>
      </c>
      <c r="V53" s="7"/>
      <c r="W53" s="7"/>
      <c r="X53" s="7"/>
      <c r="Y53" s="7"/>
      <c r="Z53" s="7"/>
      <c r="AA53" s="7"/>
      <c r="AB53" s="7"/>
      <c r="AC53" s="7"/>
      <c r="AD53" s="7"/>
      <c r="AE53" s="9"/>
    </row>
    <row r="54" spans="1:31" ht="22.5">
      <c r="A54" s="10" t="s">
        <v>352</v>
      </c>
      <c r="B54" s="10" t="s">
        <v>353</v>
      </c>
      <c r="C54" s="10" t="s">
        <v>354</v>
      </c>
      <c r="D54" s="10"/>
      <c r="E54" s="10" t="s">
        <v>355</v>
      </c>
      <c r="F54" s="10" t="s">
        <v>356</v>
      </c>
      <c r="G54" s="10"/>
      <c r="H54" s="10" t="s">
        <v>357</v>
      </c>
      <c r="I54" s="10" t="s">
        <v>358</v>
      </c>
      <c r="J54" s="10" t="s">
        <v>359</v>
      </c>
      <c r="K54" s="10" t="s">
        <v>360</v>
      </c>
      <c r="L54" s="10"/>
      <c r="M54" s="10"/>
      <c r="N54" s="10"/>
      <c r="O54" s="10" t="s">
        <v>361</v>
      </c>
      <c r="P54" s="10" t="s">
        <v>612</v>
      </c>
      <c r="Q54" s="10" t="s">
        <v>613</v>
      </c>
      <c r="R54" s="10" t="s">
        <v>190</v>
      </c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</row>
    <row r="55" spans="1:31">
      <c r="A55" s="6" t="s">
        <v>61</v>
      </c>
      <c r="B55" s="7"/>
      <c r="C55" s="8" t="s">
        <v>362</v>
      </c>
      <c r="D55" s="7"/>
      <c r="E55" s="7"/>
      <c r="F55" s="7"/>
      <c r="G55" s="7"/>
      <c r="H55" s="7"/>
      <c r="I55" s="7" t="s">
        <v>63</v>
      </c>
      <c r="J55" s="7"/>
      <c r="K55" s="7" t="s">
        <v>363</v>
      </c>
      <c r="L55" s="7"/>
      <c r="M55" s="7"/>
      <c r="N55" s="7"/>
      <c r="O55" s="7"/>
      <c r="P55" s="7"/>
      <c r="Q55" s="7"/>
      <c r="R55" s="7"/>
      <c r="S55" s="7" t="s">
        <v>65</v>
      </c>
      <c r="T55" s="7"/>
      <c r="U55" s="7" t="s">
        <v>13</v>
      </c>
      <c r="V55" s="7"/>
      <c r="W55" s="7"/>
      <c r="X55" s="7"/>
      <c r="Y55" s="7"/>
      <c r="Z55" s="7"/>
      <c r="AA55" s="7"/>
      <c r="AB55" s="7"/>
      <c r="AC55" s="7"/>
      <c r="AD55" s="7"/>
      <c r="AE55" s="9"/>
    </row>
    <row r="56" spans="1:31" ht="45">
      <c r="A56" s="10"/>
      <c r="B56" s="10"/>
      <c r="C56" s="10"/>
      <c r="D56" s="10"/>
      <c r="E56" s="10"/>
      <c r="F56" s="10"/>
      <c r="G56" s="10"/>
      <c r="H56" s="10"/>
      <c r="I56" s="10" t="s">
        <v>364</v>
      </c>
      <c r="J56" s="10" t="s">
        <v>365</v>
      </c>
      <c r="K56" s="10"/>
      <c r="L56" s="10"/>
      <c r="M56" s="10"/>
      <c r="N56" s="10"/>
      <c r="O56" s="10"/>
      <c r="P56" s="10"/>
      <c r="Q56" s="10" t="s">
        <v>433</v>
      </c>
      <c r="R56" s="10" t="s">
        <v>614</v>
      </c>
      <c r="S56" s="10" t="s">
        <v>615</v>
      </c>
      <c r="T56" s="10"/>
      <c r="U56" s="10"/>
      <c r="V56" s="10"/>
      <c r="W56" s="10" t="s">
        <v>616</v>
      </c>
      <c r="X56" s="10" t="s">
        <v>617</v>
      </c>
      <c r="Y56" s="10"/>
      <c r="Z56" s="10" t="s">
        <v>618</v>
      </c>
      <c r="AA56" s="10"/>
      <c r="AB56" s="10"/>
      <c r="AC56" s="10"/>
      <c r="AD56" s="10"/>
      <c r="AE56" s="10"/>
    </row>
    <row r="57" spans="1:31">
      <c r="A57" s="6" t="s">
        <v>61</v>
      </c>
      <c r="B57" s="7"/>
      <c r="C57" s="8" t="s">
        <v>366</v>
      </c>
      <c r="D57" s="7"/>
      <c r="E57" s="7"/>
      <c r="F57" s="7"/>
      <c r="G57" s="7"/>
      <c r="H57" s="7"/>
      <c r="I57" s="7" t="s">
        <v>63</v>
      </c>
      <c r="J57" s="7"/>
      <c r="K57" s="7" t="s">
        <v>367</v>
      </c>
      <c r="L57" s="7"/>
      <c r="M57" s="7"/>
      <c r="N57" s="7"/>
      <c r="O57" s="7"/>
      <c r="P57" s="7"/>
      <c r="Q57" s="7"/>
      <c r="R57" s="7"/>
      <c r="S57" s="7" t="s">
        <v>65</v>
      </c>
      <c r="T57" s="7"/>
      <c r="U57" s="7" t="s">
        <v>368</v>
      </c>
      <c r="V57" s="7"/>
      <c r="W57" s="7"/>
      <c r="X57" s="7"/>
      <c r="Y57" s="7"/>
      <c r="Z57" s="7"/>
      <c r="AA57" s="7"/>
      <c r="AB57" s="7"/>
      <c r="AC57" s="7"/>
      <c r="AD57" s="7"/>
      <c r="AE57" s="9"/>
    </row>
    <row r="58" spans="1:31" ht="33.75">
      <c r="A58" s="10" t="s">
        <v>369</v>
      </c>
      <c r="B58" s="10" t="s">
        <v>370</v>
      </c>
      <c r="C58" s="10" t="s">
        <v>371</v>
      </c>
      <c r="D58" s="10" t="s">
        <v>372</v>
      </c>
      <c r="E58" s="10" t="s">
        <v>373</v>
      </c>
      <c r="F58" s="10" t="s">
        <v>374</v>
      </c>
      <c r="G58" s="10" t="s">
        <v>375</v>
      </c>
      <c r="H58" s="10" t="s">
        <v>376</v>
      </c>
      <c r="I58" s="10"/>
      <c r="J58" s="10"/>
      <c r="K58" s="10"/>
      <c r="L58" s="10"/>
      <c r="M58" s="10"/>
      <c r="N58" s="10"/>
      <c r="O58" s="10" t="s">
        <v>377</v>
      </c>
      <c r="P58" s="10" t="s">
        <v>619</v>
      </c>
      <c r="Q58" s="10" t="s">
        <v>620</v>
      </c>
      <c r="R58" s="10" t="s">
        <v>620</v>
      </c>
      <c r="S58" s="10" t="s">
        <v>621</v>
      </c>
      <c r="T58" s="10" t="s">
        <v>622</v>
      </c>
      <c r="U58" s="10" t="s">
        <v>623</v>
      </c>
      <c r="V58" s="10" t="s">
        <v>624</v>
      </c>
      <c r="W58" s="10" t="s">
        <v>625</v>
      </c>
      <c r="X58" s="10" t="s">
        <v>626</v>
      </c>
      <c r="Y58" s="10" t="s">
        <v>627</v>
      </c>
      <c r="Z58" s="10" t="s">
        <v>628</v>
      </c>
      <c r="AA58" s="10"/>
      <c r="AB58" s="10"/>
      <c r="AC58" s="10"/>
      <c r="AD58" s="10"/>
      <c r="AE58" s="10"/>
    </row>
    <row r="59" spans="1:31">
      <c r="A59" s="6" t="s">
        <v>61</v>
      </c>
      <c r="B59" s="7"/>
      <c r="C59" s="8" t="s">
        <v>378</v>
      </c>
      <c r="D59" s="7"/>
      <c r="E59" s="7"/>
      <c r="F59" s="7"/>
      <c r="G59" s="7"/>
      <c r="H59" s="7"/>
      <c r="I59" s="7" t="s">
        <v>63</v>
      </c>
      <c r="J59" s="7"/>
      <c r="K59" s="7" t="s">
        <v>379</v>
      </c>
      <c r="L59" s="7"/>
      <c r="M59" s="7"/>
      <c r="N59" s="7"/>
      <c r="O59" s="7"/>
      <c r="P59" s="7"/>
      <c r="Q59" s="7"/>
      <c r="R59" s="7"/>
      <c r="S59" s="7" t="s">
        <v>65</v>
      </c>
      <c r="T59" s="7"/>
      <c r="U59" s="7" t="s">
        <v>368</v>
      </c>
      <c r="V59" s="7"/>
      <c r="W59" s="7"/>
      <c r="X59" s="7"/>
      <c r="Y59" s="7"/>
      <c r="Z59" s="7"/>
      <c r="AA59" s="7"/>
      <c r="AB59" s="7"/>
      <c r="AC59" s="7"/>
      <c r="AD59" s="7"/>
      <c r="AE59" s="9"/>
    </row>
    <row r="60" spans="1:31" ht="67.5">
      <c r="A60" s="10" t="s">
        <v>380</v>
      </c>
      <c r="B60" s="10" t="s">
        <v>381</v>
      </c>
      <c r="C60" s="10" t="s">
        <v>382</v>
      </c>
      <c r="D60" s="10" t="s">
        <v>383</v>
      </c>
      <c r="E60" s="10" t="s">
        <v>384</v>
      </c>
      <c r="F60" s="10" t="s">
        <v>385</v>
      </c>
      <c r="G60" s="10" t="s">
        <v>386</v>
      </c>
      <c r="H60" s="10" t="s">
        <v>387</v>
      </c>
      <c r="I60" s="10" t="s">
        <v>388</v>
      </c>
      <c r="J60" s="10" t="s">
        <v>389</v>
      </c>
      <c r="K60" s="10" t="s">
        <v>390</v>
      </c>
      <c r="L60" s="10" t="s">
        <v>391</v>
      </c>
      <c r="M60" s="10" t="s">
        <v>392</v>
      </c>
      <c r="N60" s="10" t="s">
        <v>393</v>
      </c>
      <c r="O60" s="10" t="s">
        <v>394</v>
      </c>
      <c r="P60" s="10"/>
      <c r="Q60" s="10"/>
      <c r="R60" s="10"/>
      <c r="S60" s="10"/>
      <c r="T60" s="10"/>
      <c r="U60" s="10"/>
      <c r="V60" s="10" t="s">
        <v>629</v>
      </c>
      <c r="W60" s="10" t="s">
        <v>630</v>
      </c>
      <c r="X60" s="10" t="s">
        <v>631</v>
      </c>
      <c r="Y60" s="10" t="s">
        <v>632</v>
      </c>
      <c r="Z60" s="10" t="s">
        <v>633</v>
      </c>
      <c r="AA60" s="10"/>
      <c r="AB60" s="10"/>
      <c r="AC60" s="10"/>
      <c r="AD60" s="10"/>
      <c r="AE60" s="10"/>
    </row>
    <row r="61" spans="1:31">
      <c r="A61" s="6" t="s">
        <v>61</v>
      </c>
      <c r="B61" s="7"/>
      <c r="C61" s="8" t="s">
        <v>395</v>
      </c>
      <c r="D61" s="7"/>
      <c r="E61" s="7"/>
      <c r="F61" s="7"/>
      <c r="G61" s="7"/>
      <c r="H61" s="7"/>
      <c r="I61" s="7" t="s">
        <v>63</v>
      </c>
      <c r="J61" s="7"/>
      <c r="K61" s="7" t="s">
        <v>396</v>
      </c>
      <c r="L61" s="7"/>
      <c r="M61" s="7"/>
      <c r="N61" s="7"/>
      <c r="O61" s="7"/>
      <c r="P61" s="7"/>
      <c r="Q61" s="7"/>
      <c r="R61" s="7"/>
      <c r="S61" s="7" t="s">
        <v>65</v>
      </c>
      <c r="T61" s="7"/>
      <c r="U61" s="7" t="s">
        <v>368</v>
      </c>
      <c r="V61" s="7"/>
      <c r="W61" s="7"/>
      <c r="X61" s="7"/>
      <c r="Y61" s="7"/>
      <c r="Z61" s="7"/>
      <c r="AA61" s="7"/>
      <c r="AB61" s="7"/>
      <c r="AC61" s="7"/>
      <c r="AD61" s="7"/>
      <c r="AE61" s="9"/>
    </row>
    <row r="62" spans="1:31" ht="67.5">
      <c r="A62" s="10"/>
      <c r="B62" s="10"/>
      <c r="C62" s="10"/>
      <c r="D62" s="10"/>
      <c r="E62" s="10"/>
      <c r="F62" s="10"/>
      <c r="G62" s="10"/>
      <c r="H62" s="10" t="s">
        <v>397</v>
      </c>
      <c r="I62" s="10" t="s">
        <v>398</v>
      </c>
      <c r="J62" s="10" t="s">
        <v>399</v>
      </c>
      <c r="K62" s="10" t="s">
        <v>400</v>
      </c>
      <c r="L62" s="10" t="s">
        <v>401</v>
      </c>
      <c r="M62" s="10" t="s">
        <v>398</v>
      </c>
      <c r="N62" s="10" t="s">
        <v>402</v>
      </c>
      <c r="O62" s="10" t="s">
        <v>403</v>
      </c>
      <c r="P62" s="10" t="s">
        <v>634</v>
      </c>
      <c r="Q62" s="10" t="s">
        <v>635</v>
      </c>
      <c r="R62" s="10" t="s">
        <v>635</v>
      </c>
      <c r="S62" s="10" t="s">
        <v>636</v>
      </c>
      <c r="T62" s="10" t="s">
        <v>637</v>
      </c>
      <c r="U62" s="10" t="s">
        <v>638</v>
      </c>
      <c r="V62" s="10" t="s">
        <v>639</v>
      </c>
      <c r="W62" s="10"/>
      <c r="X62" s="10"/>
      <c r="Y62" s="10"/>
      <c r="Z62" s="10"/>
      <c r="AA62" s="10"/>
      <c r="AB62" s="10"/>
      <c r="AC62" s="10"/>
      <c r="AD62" s="10"/>
      <c r="AE62" s="10"/>
    </row>
    <row r="63" spans="1:31">
      <c r="A63" s="6" t="s">
        <v>61</v>
      </c>
      <c r="B63" s="7"/>
      <c r="C63" s="8" t="s">
        <v>404</v>
      </c>
      <c r="D63" s="7"/>
      <c r="E63" s="7"/>
      <c r="F63" s="7"/>
      <c r="G63" s="7"/>
      <c r="H63" s="7"/>
      <c r="I63" s="7" t="s">
        <v>63</v>
      </c>
      <c r="J63" s="7"/>
      <c r="K63" s="7" t="s">
        <v>405</v>
      </c>
      <c r="L63" s="7"/>
      <c r="M63" s="7"/>
      <c r="N63" s="7"/>
      <c r="O63" s="7"/>
      <c r="P63" s="7"/>
      <c r="Q63" s="7"/>
      <c r="R63" s="7"/>
      <c r="S63" s="7" t="s">
        <v>65</v>
      </c>
      <c r="T63" s="7"/>
      <c r="U63" s="7" t="s">
        <v>368</v>
      </c>
      <c r="V63" s="7"/>
      <c r="W63" s="7"/>
      <c r="X63" s="7"/>
      <c r="Y63" s="7"/>
      <c r="Z63" s="7"/>
      <c r="AA63" s="7"/>
      <c r="AB63" s="7"/>
      <c r="AC63" s="7"/>
      <c r="AD63" s="7"/>
      <c r="AE63" s="9"/>
    </row>
    <row r="64" spans="1:31" ht="56.25">
      <c r="A64" s="10" t="s">
        <v>406</v>
      </c>
      <c r="B64" s="10" t="s">
        <v>407</v>
      </c>
      <c r="C64" s="10" t="s">
        <v>408</v>
      </c>
      <c r="D64" s="10" t="s">
        <v>409</v>
      </c>
      <c r="E64" s="10" t="s">
        <v>410</v>
      </c>
      <c r="F64" s="10" t="s">
        <v>411</v>
      </c>
      <c r="G64" s="10" t="s">
        <v>412</v>
      </c>
      <c r="H64" s="10" t="s">
        <v>413</v>
      </c>
      <c r="I64" s="10" t="s">
        <v>414</v>
      </c>
      <c r="J64" s="10" t="s">
        <v>415</v>
      </c>
      <c r="K64" s="10" t="s">
        <v>416</v>
      </c>
      <c r="L64" s="10" t="s">
        <v>417</v>
      </c>
      <c r="M64" s="10" t="s">
        <v>418</v>
      </c>
      <c r="N64" s="10" t="s">
        <v>419</v>
      </c>
      <c r="O64" s="10" t="s">
        <v>420</v>
      </c>
      <c r="P64" s="10" t="s">
        <v>640</v>
      </c>
      <c r="Q64" s="10" t="s">
        <v>415</v>
      </c>
      <c r="R64" s="10" t="s">
        <v>415</v>
      </c>
      <c r="S64" s="10" t="s">
        <v>641</v>
      </c>
      <c r="T64" s="10" t="s">
        <v>642</v>
      </c>
      <c r="U64" s="10" t="s">
        <v>643</v>
      </c>
      <c r="V64" s="10" t="s">
        <v>644</v>
      </c>
      <c r="W64" s="10" t="s">
        <v>645</v>
      </c>
      <c r="X64" s="10" t="s">
        <v>413</v>
      </c>
      <c r="Y64" s="10" t="s">
        <v>415</v>
      </c>
      <c r="Z64" s="10" t="s">
        <v>646</v>
      </c>
      <c r="AA64" s="10"/>
      <c r="AB64" s="10"/>
      <c r="AC64" s="10"/>
      <c r="AD64" s="10"/>
      <c r="AE64" s="10"/>
    </row>
    <row r="65" spans="1:31">
      <c r="A65" s="6" t="s">
        <v>61</v>
      </c>
      <c r="B65" s="7"/>
      <c r="C65" s="8" t="s">
        <v>421</v>
      </c>
      <c r="D65" s="7"/>
      <c r="E65" s="7"/>
      <c r="F65" s="7"/>
      <c r="G65" s="7"/>
      <c r="H65" s="7"/>
      <c r="I65" s="7" t="s">
        <v>63</v>
      </c>
      <c r="J65" s="7"/>
      <c r="K65" s="7" t="s">
        <v>422</v>
      </c>
      <c r="L65" s="7"/>
      <c r="M65" s="7"/>
      <c r="N65" s="7"/>
      <c r="O65" s="7"/>
      <c r="P65" s="7"/>
      <c r="Q65" s="7"/>
      <c r="R65" s="7"/>
      <c r="S65" s="7" t="s">
        <v>65</v>
      </c>
      <c r="T65" s="7"/>
      <c r="U65" s="7" t="s">
        <v>322</v>
      </c>
      <c r="V65" s="7"/>
      <c r="W65" s="7"/>
      <c r="X65" s="7"/>
      <c r="Y65" s="7"/>
      <c r="Z65" s="7"/>
      <c r="AA65" s="7"/>
      <c r="AB65" s="7"/>
      <c r="AC65" s="7"/>
      <c r="AD65" s="7"/>
      <c r="AE65" s="9"/>
    </row>
    <row r="66" spans="1:31" ht="22.5">
      <c r="A66" s="10"/>
      <c r="B66" s="10"/>
      <c r="C66" s="10" t="s">
        <v>423</v>
      </c>
      <c r="D66" s="10" t="s">
        <v>424</v>
      </c>
      <c r="E66" s="10" t="s">
        <v>425</v>
      </c>
      <c r="F66" s="10" t="s">
        <v>426</v>
      </c>
      <c r="G66" s="10" t="s">
        <v>427</v>
      </c>
      <c r="H66" s="10" t="s">
        <v>428</v>
      </c>
      <c r="I66" s="10" t="s">
        <v>429</v>
      </c>
      <c r="J66" s="10" t="s">
        <v>430</v>
      </c>
      <c r="K66" s="10" t="s">
        <v>431</v>
      </c>
      <c r="L66" s="10"/>
      <c r="M66" s="10"/>
      <c r="N66" s="10"/>
      <c r="O66" s="10"/>
      <c r="P66" s="10" t="s">
        <v>647</v>
      </c>
      <c r="Q66" s="10"/>
      <c r="R66" s="10" t="s">
        <v>648</v>
      </c>
      <c r="S66" s="10" t="s">
        <v>649</v>
      </c>
      <c r="T66" s="10" t="s">
        <v>650</v>
      </c>
      <c r="U66" s="10"/>
      <c r="V66" s="10" t="s">
        <v>651</v>
      </c>
      <c r="W66" s="10"/>
      <c r="X66" s="10" t="s">
        <v>652</v>
      </c>
      <c r="Y66" s="10" t="s">
        <v>653</v>
      </c>
      <c r="Z66" s="10" t="s">
        <v>654</v>
      </c>
      <c r="AA66" s="10"/>
      <c r="AB66" s="10"/>
      <c r="AC66" s="10"/>
      <c r="AD66" s="10"/>
      <c r="AE66" s="10"/>
    </row>
  </sheetData>
  <sheetProtection password="DC97" sheet="1"/>
  <mergeCells count="2">
    <mergeCell ref="A1:AE2"/>
    <mergeCell ref="Y3:AE3"/>
  </mergeCells>
  <pageMargins left="0.34" right="0.27" top="0.4" bottom="0.53" header="0.27" footer="0.3"/>
  <pageSetup paperSize="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EDA0A-DC10-4906-BE75-731A9FF9B532}">
  <dimension ref="A3:AG57"/>
  <sheetViews>
    <sheetView workbookViewId="0">
      <pane xSplit="2" ySplit="6" topLeftCell="O32" activePane="bottomRight" state="frozen"/>
      <selection pane="topRight" activeCell="C1" sqref="C1"/>
      <selection pane="bottomLeft" activeCell="A7" sqref="A7"/>
      <selection pane="bottomRight" activeCell="AC34" sqref="AC34"/>
    </sheetView>
  </sheetViews>
  <sheetFormatPr defaultRowHeight="15"/>
  <cols>
    <col min="1" max="1" width="5" bestFit="1" customWidth="1"/>
    <col min="2" max="2" width="16.28515625" bestFit="1" customWidth="1"/>
    <col min="3" max="3" width="13.5703125" bestFit="1" customWidth="1"/>
    <col min="4" max="4" width="8.7109375" bestFit="1" customWidth="1"/>
    <col min="5" max="5" width="25" bestFit="1" customWidth="1"/>
    <col min="6" max="10" width="8.7109375" bestFit="1" customWidth="1"/>
    <col min="12" max="12" width="8.85546875" bestFit="1" customWidth="1"/>
    <col min="13" max="13" width="20.42578125" bestFit="1" customWidth="1"/>
    <col min="14" max="14" width="11.5703125" bestFit="1" customWidth="1"/>
    <col min="15" max="17" width="8.7109375" bestFit="1" customWidth="1"/>
  </cols>
  <sheetData>
    <row r="3" spans="1:33">
      <c r="C3" s="173" t="s">
        <v>57</v>
      </c>
      <c r="D3" s="174"/>
      <c r="E3" s="174"/>
      <c r="F3" s="174"/>
      <c r="G3" s="174"/>
      <c r="H3" s="174"/>
      <c r="I3" s="174"/>
      <c r="J3" s="174"/>
      <c r="K3" s="174"/>
      <c r="L3" s="174"/>
      <c r="M3" s="174"/>
      <c r="N3" s="174"/>
      <c r="O3" s="174"/>
      <c r="P3" s="174"/>
      <c r="Q3" s="174"/>
      <c r="R3" s="174"/>
      <c r="S3" s="174"/>
      <c r="T3" s="174"/>
      <c r="U3" s="174"/>
      <c r="V3" s="174"/>
      <c r="W3" s="174"/>
      <c r="X3" s="174"/>
      <c r="Y3" s="174"/>
      <c r="Z3" s="174"/>
      <c r="AA3" s="174"/>
      <c r="AB3" s="174"/>
      <c r="AC3" s="174"/>
      <c r="AD3" s="174"/>
      <c r="AE3" s="174"/>
      <c r="AF3" s="174"/>
      <c r="AG3" s="175"/>
    </row>
    <row r="4" spans="1:33">
      <c r="C4" s="166"/>
      <c r="D4" s="176"/>
      <c r="E4" s="176"/>
      <c r="F4" s="176"/>
      <c r="G4" s="176"/>
      <c r="H4" s="176"/>
      <c r="I4" s="176"/>
      <c r="J4" s="176"/>
      <c r="K4" s="176"/>
      <c r="L4" s="176"/>
      <c r="M4" s="176"/>
      <c r="N4" s="176"/>
      <c r="O4" s="176"/>
      <c r="P4" s="176"/>
      <c r="Q4" s="176"/>
      <c r="R4" s="176"/>
      <c r="S4" s="176"/>
      <c r="T4" s="176"/>
      <c r="U4" s="176"/>
      <c r="V4" s="176"/>
      <c r="W4" s="176"/>
      <c r="X4" s="176"/>
      <c r="Y4" s="176"/>
      <c r="Z4" s="176"/>
      <c r="AA4" s="176"/>
      <c r="AB4" s="176"/>
      <c r="AC4" s="176"/>
      <c r="AD4" s="176"/>
      <c r="AE4" s="176"/>
      <c r="AF4" s="176"/>
      <c r="AG4" s="168"/>
    </row>
    <row r="5" spans="1:33">
      <c r="C5" s="131" t="s">
        <v>58</v>
      </c>
      <c r="D5" s="132"/>
      <c r="E5" s="133" t="s">
        <v>886</v>
      </c>
      <c r="F5" s="132"/>
      <c r="G5" s="132"/>
      <c r="H5" s="132"/>
      <c r="I5" s="132"/>
      <c r="J5" s="132"/>
      <c r="K5" s="132"/>
      <c r="L5" s="133" t="s">
        <v>60</v>
      </c>
      <c r="M5" s="132"/>
      <c r="N5" s="133" t="s">
        <v>887</v>
      </c>
      <c r="O5" s="132"/>
      <c r="P5" s="132"/>
      <c r="Q5" s="132"/>
      <c r="R5" s="132"/>
      <c r="S5" s="132"/>
      <c r="T5" s="132"/>
      <c r="U5" s="132"/>
      <c r="V5" s="132"/>
      <c r="W5" s="132"/>
      <c r="X5" s="132"/>
      <c r="Y5" s="132"/>
      <c r="Z5" s="133"/>
      <c r="AA5" s="171"/>
      <c r="AB5" s="171"/>
      <c r="AC5" s="171"/>
      <c r="AD5" s="171"/>
      <c r="AE5" s="171"/>
      <c r="AF5" s="171"/>
      <c r="AG5" s="172"/>
    </row>
    <row r="6" spans="1:33">
      <c r="C6" s="134">
        <v>21</v>
      </c>
      <c r="D6" s="134">
        <v>22</v>
      </c>
      <c r="E6" s="134">
        <v>23</v>
      </c>
      <c r="F6" s="134">
        <v>24</v>
      </c>
      <c r="G6" s="134">
        <v>25</v>
      </c>
      <c r="H6" s="134">
        <v>26</v>
      </c>
      <c r="I6" s="134">
        <v>27</v>
      </c>
      <c r="J6" s="134">
        <v>28</v>
      </c>
      <c r="K6" s="134">
        <v>29</v>
      </c>
      <c r="L6" s="134">
        <v>30</v>
      </c>
      <c r="M6" s="134">
        <v>31</v>
      </c>
      <c r="N6" s="134">
        <v>1</v>
      </c>
      <c r="O6" s="134">
        <v>2</v>
      </c>
      <c r="P6" s="134">
        <v>3</v>
      </c>
      <c r="Q6" s="134">
        <v>4</v>
      </c>
      <c r="R6" s="134">
        <v>5</v>
      </c>
      <c r="S6" s="134">
        <v>6</v>
      </c>
      <c r="T6" s="134">
        <v>7</v>
      </c>
      <c r="U6" s="134">
        <v>8</v>
      </c>
      <c r="V6" s="134">
        <v>9</v>
      </c>
      <c r="W6" s="134">
        <v>10</v>
      </c>
      <c r="X6" s="134">
        <v>11</v>
      </c>
      <c r="Y6" s="134">
        <v>12</v>
      </c>
      <c r="Z6" s="134">
        <v>13</v>
      </c>
      <c r="AA6" s="134">
        <v>14</v>
      </c>
      <c r="AB6" s="134">
        <v>15</v>
      </c>
      <c r="AC6" s="134">
        <v>16</v>
      </c>
      <c r="AD6" s="134">
        <v>17</v>
      </c>
      <c r="AE6" s="134">
        <v>18</v>
      </c>
      <c r="AF6" s="134">
        <v>19</v>
      </c>
      <c r="AG6" s="134">
        <v>20</v>
      </c>
    </row>
    <row r="7" spans="1:33" ht="22.5">
      <c r="A7" s="117" t="s">
        <v>62</v>
      </c>
      <c r="B7" s="117" t="s">
        <v>64</v>
      </c>
      <c r="C7" s="118" t="s">
        <v>888</v>
      </c>
      <c r="D7" s="130" t="s">
        <v>889</v>
      </c>
      <c r="E7" s="130" t="s">
        <v>890</v>
      </c>
      <c r="F7" s="130" t="s">
        <v>1614</v>
      </c>
      <c r="G7" s="130" t="s">
        <v>891</v>
      </c>
      <c r="H7" s="130" t="s">
        <v>892</v>
      </c>
      <c r="I7" s="130" t="s">
        <v>893</v>
      </c>
      <c r="J7" s="130"/>
      <c r="K7" s="130" t="s">
        <v>894</v>
      </c>
      <c r="L7" s="130" t="s">
        <v>895</v>
      </c>
      <c r="M7" s="130" t="s">
        <v>488</v>
      </c>
      <c r="N7" s="130"/>
      <c r="O7" s="130"/>
      <c r="P7" s="130"/>
      <c r="Q7" s="130"/>
      <c r="R7" s="130" t="s">
        <v>896</v>
      </c>
      <c r="S7" s="130" t="s">
        <v>897</v>
      </c>
      <c r="T7" s="130" t="s">
        <v>898</v>
      </c>
      <c r="U7" s="130" t="s">
        <v>899</v>
      </c>
      <c r="V7" s="130" t="s">
        <v>900</v>
      </c>
      <c r="W7" s="130" t="s">
        <v>901</v>
      </c>
      <c r="X7" s="130" t="s">
        <v>902</v>
      </c>
      <c r="Y7" s="130" t="s">
        <v>903</v>
      </c>
      <c r="Z7" s="130" t="s">
        <v>904</v>
      </c>
      <c r="AA7" s="130" t="s">
        <v>905</v>
      </c>
      <c r="AB7" s="130" t="s">
        <v>906</v>
      </c>
      <c r="AC7" s="130" t="s">
        <v>907</v>
      </c>
      <c r="AD7" s="130" t="s">
        <v>908</v>
      </c>
      <c r="AE7" s="130" t="s">
        <v>909</v>
      </c>
      <c r="AF7" s="130" t="s">
        <v>910</v>
      </c>
      <c r="AG7" s="130" t="s">
        <v>911</v>
      </c>
    </row>
    <row r="8" spans="1:33">
      <c r="A8" s="117" t="s">
        <v>76</v>
      </c>
      <c r="B8" s="117" t="s">
        <v>77</v>
      </c>
      <c r="C8" s="118"/>
      <c r="D8" s="130" t="s">
        <v>792</v>
      </c>
      <c r="E8" s="130" t="s">
        <v>912</v>
      </c>
      <c r="F8" s="130" t="s">
        <v>203</v>
      </c>
      <c r="G8" s="130"/>
      <c r="H8" s="130" t="s">
        <v>913</v>
      </c>
      <c r="I8" s="130" t="s">
        <v>855</v>
      </c>
      <c r="J8" s="130"/>
      <c r="K8" s="130" t="s">
        <v>771</v>
      </c>
      <c r="L8" s="130"/>
      <c r="M8" s="130"/>
      <c r="N8" s="130"/>
      <c r="O8" s="130" t="s">
        <v>914</v>
      </c>
      <c r="P8" s="130"/>
      <c r="Q8" s="130" t="s">
        <v>915</v>
      </c>
      <c r="R8" s="130" t="s">
        <v>916</v>
      </c>
      <c r="S8" s="130"/>
      <c r="T8" s="130" t="s">
        <v>791</v>
      </c>
      <c r="U8" s="130" t="s">
        <v>771</v>
      </c>
      <c r="V8" s="130" t="s">
        <v>917</v>
      </c>
      <c r="W8" s="130" t="s">
        <v>918</v>
      </c>
      <c r="X8" s="130" t="s">
        <v>762</v>
      </c>
      <c r="Y8" s="130" t="s">
        <v>792</v>
      </c>
      <c r="Z8" s="130" t="s">
        <v>919</v>
      </c>
      <c r="AA8" s="130"/>
      <c r="AB8" s="130"/>
      <c r="AC8" s="130"/>
      <c r="AD8" s="130"/>
      <c r="AE8" s="130"/>
      <c r="AF8" s="130"/>
      <c r="AG8" s="130" t="s">
        <v>920</v>
      </c>
    </row>
    <row r="9" spans="1:33">
      <c r="A9" s="117" t="s">
        <v>86</v>
      </c>
      <c r="B9" s="117" t="s">
        <v>87</v>
      </c>
      <c r="C9" s="118"/>
      <c r="D9" s="130"/>
      <c r="E9" s="130"/>
      <c r="F9" s="130"/>
      <c r="G9" s="130"/>
      <c r="H9" s="130"/>
      <c r="I9" s="130"/>
      <c r="J9" s="130"/>
      <c r="K9" s="130"/>
      <c r="L9" s="130"/>
      <c r="M9" s="130"/>
      <c r="N9" s="130"/>
      <c r="O9" s="130"/>
      <c r="P9" s="130"/>
      <c r="Q9" s="130"/>
      <c r="R9" s="130"/>
      <c r="S9" s="130"/>
      <c r="T9" s="130"/>
      <c r="U9" s="130"/>
      <c r="V9" s="130"/>
      <c r="W9" s="130"/>
      <c r="X9" s="130"/>
      <c r="Y9" s="130"/>
      <c r="Z9" s="130"/>
      <c r="AA9" s="130"/>
      <c r="AB9" s="130"/>
      <c r="AC9" s="130"/>
      <c r="AD9" s="130"/>
      <c r="AE9" s="130"/>
      <c r="AF9" s="130"/>
      <c r="AG9" s="130"/>
    </row>
    <row r="10" spans="1:33">
      <c r="A10" s="117" t="s">
        <v>89</v>
      </c>
      <c r="B10" s="117" t="s">
        <v>90</v>
      </c>
      <c r="C10" s="118"/>
      <c r="D10" s="130"/>
      <c r="E10" s="130"/>
      <c r="F10" s="130"/>
      <c r="G10" s="130"/>
      <c r="H10" s="130"/>
      <c r="I10" s="130"/>
      <c r="J10" s="130"/>
      <c r="K10" s="130"/>
      <c r="L10" s="130"/>
      <c r="M10" s="130"/>
      <c r="N10" s="130"/>
      <c r="O10" s="130"/>
      <c r="P10" s="130"/>
      <c r="Q10" s="130"/>
      <c r="R10" s="130"/>
      <c r="S10" s="130"/>
      <c r="T10" s="130"/>
      <c r="U10" s="130"/>
      <c r="V10" s="130"/>
      <c r="W10" s="130"/>
      <c r="X10" s="130"/>
      <c r="Y10" s="130"/>
      <c r="Z10" s="130"/>
      <c r="AA10" s="130"/>
      <c r="AB10" s="130"/>
      <c r="AC10" s="130"/>
      <c r="AD10" s="130"/>
      <c r="AE10" s="130"/>
      <c r="AF10" s="130"/>
      <c r="AG10" s="130"/>
    </row>
    <row r="11" spans="1:33">
      <c r="A11" s="117" t="s">
        <v>142</v>
      </c>
      <c r="B11" s="117" t="s">
        <v>143</v>
      </c>
      <c r="C11" s="118"/>
      <c r="D11" s="130"/>
      <c r="E11" s="130"/>
      <c r="F11" s="130"/>
      <c r="G11" s="130"/>
      <c r="H11" s="130"/>
      <c r="I11" s="130"/>
      <c r="J11" s="130"/>
      <c r="K11" s="130"/>
      <c r="L11" s="130"/>
      <c r="M11" s="130"/>
      <c r="N11" s="130"/>
      <c r="O11" s="130"/>
      <c r="P11" s="130"/>
      <c r="Q11" s="130"/>
      <c r="R11" s="130"/>
      <c r="S11" s="130"/>
      <c r="T11" s="130"/>
      <c r="U11" s="130"/>
      <c r="V11" s="130"/>
      <c r="W11" s="130"/>
      <c r="X11" s="130"/>
      <c r="Y11" s="130"/>
      <c r="Z11" s="130"/>
      <c r="AA11" s="130"/>
      <c r="AB11" s="130"/>
      <c r="AC11" s="130"/>
      <c r="AD11" s="130"/>
      <c r="AE11" s="130"/>
      <c r="AF11" s="130"/>
      <c r="AG11" s="130"/>
    </row>
    <row r="12" spans="1:33">
      <c r="A12" s="117" t="s">
        <v>165</v>
      </c>
      <c r="B12" s="117" t="s">
        <v>166</v>
      </c>
      <c r="C12" s="118"/>
      <c r="D12" s="130"/>
      <c r="E12" s="130"/>
      <c r="F12" s="130"/>
      <c r="G12" s="130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130"/>
      <c r="T12" s="130"/>
      <c r="U12" s="130"/>
      <c r="V12" s="130"/>
      <c r="W12" s="130"/>
      <c r="X12" s="130"/>
      <c r="Y12" s="130"/>
      <c r="Z12" s="130"/>
      <c r="AA12" s="130"/>
      <c r="AB12" s="130"/>
      <c r="AC12" s="130"/>
      <c r="AD12" s="130"/>
      <c r="AE12" s="130"/>
      <c r="AF12" s="130"/>
      <c r="AG12" s="130"/>
    </row>
    <row r="13" spans="1:33">
      <c r="A13" s="117" t="s">
        <v>243</v>
      </c>
      <c r="B13" s="117" t="s">
        <v>244</v>
      </c>
      <c r="C13" s="118"/>
      <c r="D13" s="130"/>
      <c r="E13" s="130"/>
      <c r="F13" s="130"/>
      <c r="G13" s="130"/>
      <c r="H13" s="130"/>
      <c r="I13" s="130"/>
      <c r="J13" s="130"/>
      <c r="K13" s="130"/>
      <c r="L13" s="130"/>
      <c r="M13" s="130"/>
      <c r="N13" s="130"/>
      <c r="O13" s="130"/>
      <c r="P13" s="130"/>
      <c r="Q13" s="130"/>
      <c r="R13" s="130"/>
      <c r="S13" s="130"/>
      <c r="T13" s="130"/>
      <c r="U13" s="130"/>
      <c r="V13" s="130"/>
      <c r="W13" s="130"/>
      <c r="X13" s="130"/>
      <c r="Y13" s="130"/>
      <c r="Z13" s="130"/>
      <c r="AA13" s="130"/>
      <c r="AB13" s="130"/>
      <c r="AC13" s="130"/>
      <c r="AD13" s="130"/>
      <c r="AE13" s="130"/>
      <c r="AF13" s="130"/>
      <c r="AG13" s="130"/>
    </row>
    <row r="14" spans="1:33">
      <c r="A14" s="117" t="s">
        <v>308</v>
      </c>
      <c r="B14" s="117" t="s">
        <v>309</v>
      </c>
      <c r="C14" s="118"/>
      <c r="D14" s="130"/>
      <c r="E14" s="130"/>
      <c r="F14" s="130"/>
      <c r="G14" s="130"/>
      <c r="H14" s="130"/>
      <c r="I14" s="130"/>
      <c r="J14" s="130"/>
      <c r="K14" s="130"/>
      <c r="L14" s="130"/>
      <c r="M14" s="130"/>
      <c r="N14" s="130"/>
      <c r="O14" s="130"/>
      <c r="P14" s="130"/>
      <c r="Q14" s="130"/>
      <c r="R14" s="130"/>
      <c r="S14" s="130"/>
      <c r="T14" s="130"/>
      <c r="U14" s="130"/>
      <c r="V14" s="130"/>
      <c r="W14" s="130"/>
      <c r="X14" s="130"/>
      <c r="Y14" s="130"/>
      <c r="Z14" s="130"/>
      <c r="AA14" s="130"/>
      <c r="AB14" s="130"/>
      <c r="AC14" s="130"/>
      <c r="AD14" s="130"/>
      <c r="AE14" s="130"/>
      <c r="AF14" s="130"/>
      <c r="AG14" s="130"/>
    </row>
    <row r="15" spans="1:33">
      <c r="A15" s="117" t="s">
        <v>320</v>
      </c>
      <c r="B15" s="117" t="s">
        <v>321</v>
      </c>
      <c r="C15" s="118"/>
      <c r="D15" s="130"/>
      <c r="E15" s="130"/>
      <c r="F15" s="130"/>
      <c r="G15" s="130"/>
      <c r="H15" s="130"/>
      <c r="I15" s="130"/>
      <c r="J15" s="130"/>
      <c r="K15" s="130"/>
      <c r="L15" s="130"/>
      <c r="M15" s="130"/>
      <c r="N15" s="130"/>
      <c r="O15" s="130"/>
      <c r="P15" s="130"/>
      <c r="Q15" s="130"/>
      <c r="R15" s="130"/>
      <c r="S15" s="130"/>
      <c r="T15" s="130"/>
      <c r="U15" s="130"/>
      <c r="V15" s="130"/>
      <c r="W15" s="130"/>
      <c r="X15" s="130"/>
      <c r="Y15" s="130"/>
      <c r="Z15" s="130"/>
      <c r="AA15" s="130"/>
      <c r="AB15" s="130"/>
      <c r="AC15" s="130"/>
      <c r="AD15" s="130"/>
      <c r="AE15" s="130"/>
      <c r="AF15" s="130"/>
      <c r="AG15" s="130"/>
    </row>
    <row r="16" spans="1:33">
      <c r="A16" s="117" t="s">
        <v>327</v>
      </c>
      <c r="B16" s="117" t="s">
        <v>328</v>
      </c>
      <c r="C16" s="118"/>
      <c r="D16" s="130"/>
      <c r="E16" s="130"/>
      <c r="F16" s="130"/>
      <c r="G16" s="130"/>
      <c r="H16" s="130"/>
      <c r="I16" s="130"/>
      <c r="J16" s="130"/>
      <c r="K16" s="130"/>
      <c r="L16" s="130"/>
      <c r="M16" s="130"/>
      <c r="N16" s="130"/>
      <c r="O16" s="130"/>
      <c r="P16" s="130"/>
      <c r="Q16" s="130"/>
      <c r="R16" s="130"/>
      <c r="S16" s="130"/>
      <c r="T16" s="130"/>
      <c r="U16" s="130"/>
      <c r="V16" s="130"/>
      <c r="W16" s="130"/>
      <c r="X16" s="130"/>
      <c r="Y16" s="130"/>
      <c r="Z16" s="130"/>
      <c r="AA16" s="130"/>
      <c r="AB16" s="130"/>
      <c r="AC16" s="130"/>
      <c r="AD16" s="130"/>
      <c r="AE16" s="130"/>
      <c r="AF16" s="130"/>
      <c r="AG16" s="130"/>
    </row>
    <row r="17" spans="1:33">
      <c r="A17" s="117" t="s">
        <v>362</v>
      </c>
      <c r="B17" s="117" t="s">
        <v>363</v>
      </c>
      <c r="C17" s="118"/>
      <c r="D17" s="130"/>
      <c r="E17" s="130"/>
      <c r="F17" s="130"/>
      <c r="G17" s="130"/>
      <c r="H17" s="130"/>
      <c r="I17" s="130"/>
      <c r="J17" s="130"/>
      <c r="K17" s="130"/>
      <c r="L17" s="130"/>
      <c r="M17" s="130"/>
      <c r="N17" s="130"/>
      <c r="O17" s="130"/>
      <c r="P17" s="130"/>
      <c r="Q17" s="130"/>
      <c r="R17" s="130"/>
      <c r="S17" s="130"/>
      <c r="T17" s="130"/>
      <c r="U17" s="130"/>
      <c r="V17" s="130"/>
      <c r="W17" s="130"/>
      <c r="X17" s="130"/>
      <c r="Y17" s="130"/>
      <c r="Z17" s="130"/>
      <c r="AA17" s="130"/>
      <c r="AB17" s="130"/>
      <c r="AC17" s="130"/>
      <c r="AD17" s="130"/>
      <c r="AE17" s="130"/>
      <c r="AF17" s="130"/>
      <c r="AG17" s="130"/>
    </row>
    <row r="18" spans="1:33">
      <c r="A18" s="117" t="s">
        <v>421</v>
      </c>
      <c r="B18" s="117" t="s">
        <v>422</v>
      </c>
      <c r="C18" s="118"/>
      <c r="D18" s="130"/>
      <c r="E18" s="130"/>
      <c r="F18" s="130"/>
      <c r="G18" s="130"/>
      <c r="H18" s="130"/>
      <c r="I18" s="130"/>
      <c r="J18" s="130"/>
      <c r="K18" s="130"/>
      <c r="L18" s="130"/>
      <c r="M18" s="130"/>
      <c r="N18" s="130"/>
      <c r="O18" s="130"/>
      <c r="P18" s="130"/>
      <c r="Q18" s="130"/>
      <c r="R18" s="130"/>
      <c r="S18" s="130"/>
      <c r="T18" s="130"/>
      <c r="U18" s="130"/>
      <c r="V18" s="130"/>
      <c r="W18" s="130"/>
      <c r="X18" s="130"/>
      <c r="Y18" s="130"/>
      <c r="Z18" s="130"/>
      <c r="AA18" s="130"/>
      <c r="AB18" s="130"/>
      <c r="AC18" s="130"/>
      <c r="AD18" s="130"/>
      <c r="AE18" s="130"/>
      <c r="AF18" s="130"/>
      <c r="AG18" s="130"/>
    </row>
    <row r="19" spans="1:33" ht="22.5">
      <c r="A19" s="117" t="s">
        <v>1424</v>
      </c>
      <c r="B19" s="117" t="s">
        <v>1425</v>
      </c>
      <c r="C19" s="118"/>
      <c r="D19" s="130"/>
      <c r="E19" s="130"/>
      <c r="F19" s="130"/>
      <c r="G19" s="130"/>
      <c r="H19" s="130"/>
      <c r="I19" s="130"/>
      <c r="J19" s="130"/>
      <c r="K19" s="130"/>
      <c r="L19" s="130"/>
      <c r="M19" s="130"/>
      <c r="N19" s="130"/>
      <c r="O19" s="130"/>
      <c r="P19" s="130"/>
      <c r="Q19" s="130"/>
      <c r="R19" s="130"/>
      <c r="S19" s="130"/>
      <c r="T19" s="130"/>
      <c r="U19" s="130" t="s">
        <v>1426</v>
      </c>
      <c r="V19" s="130" t="s">
        <v>1427</v>
      </c>
      <c r="W19" s="130" t="s">
        <v>1428</v>
      </c>
      <c r="X19" s="130" t="s">
        <v>1429</v>
      </c>
      <c r="Y19" s="130" t="s">
        <v>1430</v>
      </c>
      <c r="Z19" s="130" t="s">
        <v>1431</v>
      </c>
      <c r="AA19" s="130" t="s">
        <v>1432</v>
      </c>
      <c r="AB19" s="130" t="s">
        <v>1433</v>
      </c>
      <c r="AC19" s="130"/>
      <c r="AD19" s="130"/>
      <c r="AE19" s="130"/>
      <c r="AF19" s="130"/>
      <c r="AG19" s="130"/>
    </row>
    <row r="20" spans="1:33" ht="22.5">
      <c r="A20" s="117" t="s">
        <v>1434</v>
      </c>
      <c r="B20" s="117" t="s">
        <v>1435</v>
      </c>
      <c r="C20" s="118"/>
      <c r="D20" s="130"/>
      <c r="E20" s="130"/>
      <c r="F20" s="130"/>
      <c r="G20" s="130"/>
      <c r="H20" s="130"/>
      <c r="I20" s="130"/>
      <c r="J20" s="130"/>
      <c r="K20" s="130"/>
      <c r="L20" s="130"/>
      <c r="M20" s="130"/>
      <c r="N20" s="130"/>
      <c r="O20" s="130"/>
      <c r="P20" s="130"/>
      <c r="Q20" s="130"/>
      <c r="R20" s="130"/>
      <c r="S20" s="130"/>
      <c r="T20" s="130"/>
      <c r="U20" s="130"/>
      <c r="V20" s="130"/>
      <c r="W20" s="130" t="s">
        <v>1436</v>
      </c>
      <c r="X20" s="130"/>
      <c r="Y20" s="130" t="s">
        <v>1437</v>
      </c>
      <c r="Z20" s="130" t="s">
        <v>1438</v>
      </c>
      <c r="AA20" s="130" t="s">
        <v>324</v>
      </c>
      <c r="AB20" s="130"/>
      <c r="AC20" s="130"/>
      <c r="AD20" s="130"/>
      <c r="AE20" s="130"/>
      <c r="AF20" s="130"/>
      <c r="AG20" s="130"/>
    </row>
    <row r="21" spans="1:33">
      <c r="A21" s="117" t="s">
        <v>1439</v>
      </c>
      <c r="B21" s="117" t="s">
        <v>1440</v>
      </c>
      <c r="C21" s="118"/>
      <c r="D21" s="130"/>
      <c r="E21" s="130"/>
      <c r="F21" s="130"/>
      <c r="G21" s="130"/>
      <c r="H21" s="130"/>
      <c r="I21" s="130"/>
      <c r="J21" s="130"/>
      <c r="K21" s="130"/>
      <c r="L21" s="130"/>
      <c r="M21" s="130"/>
      <c r="N21" s="130"/>
      <c r="O21" s="130"/>
      <c r="P21" s="130"/>
      <c r="Q21" s="130"/>
      <c r="R21" s="130"/>
      <c r="S21" s="130"/>
      <c r="T21" s="130"/>
      <c r="U21" s="130"/>
      <c r="V21" s="130"/>
      <c r="W21" s="130" t="s">
        <v>1441</v>
      </c>
      <c r="X21" s="130"/>
      <c r="Y21" s="130" t="s">
        <v>1442</v>
      </c>
      <c r="Z21" s="130" t="s">
        <v>1438</v>
      </c>
      <c r="AA21" s="130" t="s">
        <v>283</v>
      </c>
      <c r="AB21" s="130"/>
      <c r="AC21" s="130"/>
      <c r="AD21" s="130"/>
      <c r="AE21" s="130"/>
      <c r="AF21" s="130"/>
      <c r="AG21" s="130"/>
    </row>
    <row r="22" spans="1:33">
      <c r="A22" s="117" t="s">
        <v>1445</v>
      </c>
      <c r="B22" s="117" t="s">
        <v>1446</v>
      </c>
      <c r="C22" s="118"/>
      <c r="D22" s="130"/>
      <c r="E22" s="130"/>
      <c r="F22" s="130"/>
      <c r="G22" s="130"/>
      <c r="H22" s="130"/>
      <c r="I22" s="130"/>
      <c r="J22" s="130"/>
      <c r="K22" s="130"/>
      <c r="L22" s="130"/>
      <c r="M22" s="130"/>
      <c r="N22" s="130"/>
      <c r="O22" s="130"/>
      <c r="P22" s="130"/>
      <c r="Q22" s="130"/>
      <c r="R22" s="130"/>
      <c r="S22" s="130"/>
      <c r="T22" s="130"/>
      <c r="U22" s="130"/>
      <c r="V22" s="130"/>
      <c r="W22" s="130"/>
      <c r="X22" s="130"/>
      <c r="Y22" s="130" t="s">
        <v>1447</v>
      </c>
      <c r="Z22" s="130" t="s">
        <v>1448</v>
      </c>
      <c r="AA22" s="130" t="s">
        <v>1449</v>
      </c>
      <c r="AB22" s="130"/>
      <c r="AC22" s="130"/>
      <c r="AD22" s="130"/>
      <c r="AE22" s="130"/>
      <c r="AF22" s="130"/>
      <c r="AG22" s="130"/>
    </row>
    <row r="23" spans="1:33">
      <c r="A23" s="117" t="s">
        <v>1450</v>
      </c>
      <c r="B23" s="117" t="s">
        <v>1451</v>
      </c>
      <c r="C23" s="118"/>
      <c r="D23" s="130"/>
      <c r="E23" s="130"/>
      <c r="F23" s="130"/>
      <c r="G23" s="130"/>
      <c r="H23" s="130"/>
      <c r="I23" s="130"/>
      <c r="J23" s="130"/>
      <c r="K23" s="130"/>
      <c r="L23" s="130"/>
      <c r="M23" s="130"/>
      <c r="N23" s="130"/>
      <c r="O23" s="130"/>
      <c r="P23" s="130"/>
      <c r="Q23" s="130"/>
      <c r="R23" s="130"/>
      <c r="S23" s="130"/>
      <c r="T23" s="130"/>
      <c r="U23" s="130"/>
      <c r="V23" s="130"/>
      <c r="W23" s="130"/>
      <c r="X23" s="130"/>
      <c r="Y23" s="130" t="s">
        <v>1452</v>
      </c>
      <c r="Z23" s="130" t="s">
        <v>1453</v>
      </c>
      <c r="AA23" s="130" t="s">
        <v>1454</v>
      </c>
      <c r="AB23" s="130"/>
      <c r="AC23" s="130"/>
      <c r="AD23" s="130"/>
      <c r="AE23" s="130"/>
      <c r="AF23" s="130"/>
      <c r="AG23" s="130"/>
    </row>
    <row r="24" spans="1:33" ht="33.75">
      <c r="A24" s="117" t="s">
        <v>1455</v>
      </c>
      <c r="B24" s="117" t="s">
        <v>1456</v>
      </c>
      <c r="C24" s="118"/>
      <c r="D24" s="130"/>
      <c r="E24" s="130"/>
      <c r="F24" s="130"/>
      <c r="G24" s="130"/>
      <c r="H24" s="130"/>
      <c r="I24" s="130"/>
      <c r="J24" s="130"/>
      <c r="K24" s="130"/>
      <c r="L24" s="130"/>
      <c r="M24" s="130"/>
      <c r="N24" s="130"/>
      <c r="O24" s="130"/>
      <c r="P24" s="130"/>
      <c r="Q24" s="130"/>
      <c r="R24" s="130"/>
      <c r="S24" s="130"/>
      <c r="T24" s="130"/>
      <c r="U24" s="130"/>
      <c r="V24" s="130"/>
      <c r="W24" s="130"/>
      <c r="X24" s="130"/>
      <c r="Y24" s="130" t="s">
        <v>1457</v>
      </c>
      <c r="Z24" s="130" t="s">
        <v>1458</v>
      </c>
      <c r="AA24" s="130" t="s">
        <v>1459</v>
      </c>
      <c r="AB24" s="130"/>
      <c r="AC24" s="130"/>
      <c r="AD24" s="130"/>
      <c r="AE24" s="130"/>
      <c r="AF24" s="130"/>
      <c r="AG24" s="130"/>
    </row>
    <row r="25" spans="1:33" ht="22.5">
      <c r="A25" s="117" t="s">
        <v>1460</v>
      </c>
      <c r="B25" s="117" t="s">
        <v>1461</v>
      </c>
      <c r="C25" s="118"/>
      <c r="D25" s="130"/>
      <c r="E25" s="130"/>
      <c r="F25" s="130"/>
      <c r="G25" s="130"/>
      <c r="H25" s="130"/>
      <c r="I25" s="130"/>
      <c r="J25" s="130"/>
      <c r="K25" s="130"/>
      <c r="L25" s="130"/>
      <c r="M25" s="130"/>
      <c r="N25" s="130"/>
      <c r="O25" s="130"/>
      <c r="P25" s="130"/>
      <c r="Q25" s="130"/>
      <c r="R25" s="130"/>
      <c r="S25" s="130"/>
      <c r="T25" s="130"/>
      <c r="U25" s="130"/>
      <c r="V25" s="130"/>
      <c r="W25" s="130"/>
      <c r="X25" s="130"/>
      <c r="Y25" s="130" t="s">
        <v>1462</v>
      </c>
      <c r="Z25" s="130" t="s">
        <v>1463</v>
      </c>
      <c r="AA25" s="130" t="s">
        <v>1464</v>
      </c>
      <c r="AB25" s="130"/>
      <c r="AC25" s="130"/>
      <c r="AD25" s="130"/>
      <c r="AE25" s="130"/>
      <c r="AF25" s="130"/>
      <c r="AG25" s="130"/>
    </row>
    <row r="26" spans="1:33" ht="22.5">
      <c r="A26" s="117" t="s">
        <v>1465</v>
      </c>
      <c r="B26" s="117" t="s">
        <v>1466</v>
      </c>
      <c r="C26" s="118"/>
      <c r="D26" s="130"/>
      <c r="E26" s="130"/>
      <c r="F26" s="130"/>
      <c r="G26" s="130"/>
      <c r="H26" s="130"/>
      <c r="I26" s="130"/>
      <c r="J26" s="130"/>
      <c r="K26" s="130"/>
      <c r="L26" s="130"/>
      <c r="M26" s="130"/>
      <c r="N26" s="130"/>
      <c r="O26" s="130"/>
      <c r="P26" s="130"/>
      <c r="Q26" s="130"/>
      <c r="R26" s="130"/>
      <c r="S26" s="130"/>
      <c r="T26" s="130"/>
      <c r="U26" s="130"/>
      <c r="V26" s="130"/>
      <c r="W26" s="130"/>
      <c r="X26" s="130"/>
      <c r="Y26" s="130" t="s">
        <v>1467</v>
      </c>
      <c r="Z26" s="130" t="s">
        <v>1453</v>
      </c>
      <c r="AA26" s="130" t="s">
        <v>324</v>
      </c>
      <c r="AB26" s="130"/>
      <c r="AC26" s="130"/>
      <c r="AD26" s="130"/>
      <c r="AE26" s="130"/>
      <c r="AF26" s="130"/>
      <c r="AG26" s="130"/>
    </row>
    <row r="27" spans="1:33">
      <c r="A27" s="117"/>
      <c r="B27" s="117"/>
      <c r="C27" s="118"/>
      <c r="D27" s="130"/>
      <c r="E27" s="130"/>
      <c r="F27" s="130"/>
      <c r="G27" s="130"/>
      <c r="H27" s="130"/>
      <c r="I27" s="130"/>
      <c r="J27" s="130"/>
      <c r="K27" s="130"/>
      <c r="L27" s="130"/>
      <c r="M27" s="130"/>
      <c r="N27" s="130"/>
      <c r="O27" s="130"/>
      <c r="P27" s="130"/>
      <c r="Q27" s="130"/>
      <c r="R27" s="130"/>
      <c r="S27" s="130"/>
      <c r="T27" s="130"/>
      <c r="U27" s="130"/>
      <c r="V27" s="130"/>
      <c r="W27" s="130"/>
      <c r="X27" s="130"/>
      <c r="Y27" s="130"/>
      <c r="Z27" s="130"/>
      <c r="AA27" s="130"/>
      <c r="AB27" s="130"/>
      <c r="AC27" s="130"/>
      <c r="AD27" s="130"/>
      <c r="AE27" s="130"/>
      <c r="AF27" s="130"/>
      <c r="AG27" s="130"/>
    </row>
    <row r="28" spans="1:33">
      <c r="A28" s="117"/>
      <c r="B28" s="117"/>
      <c r="C28" s="118"/>
      <c r="D28" s="130"/>
      <c r="E28" s="130"/>
      <c r="F28" s="130"/>
      <c r="G28" s="130"/>
      <c r="H28" s="130"/>
      <c r="I28" s="130"/>
      <c r="J28" s="130"/>
      <c r="K28" s="130"/>
      <c r="L28" s="130"/>
      <c r="M28" s="130"/>
      <c r="N28" s="130"/>
      <c r="O28" s="130"/>
      <c r="P28" s="130"/>
      <c r="Q28" s="130"/>
      <c r="R28" s="130"/>
      <c r="S28" s="130"/>
      <c r="T28" s="130"/>
      <c r="U28" s="130"/>
      <c r="V28" s="130"/>
      <c r="W28" s="130"/>
      <c r="X28" s="130"/>
      <c r="Y28" s="130"/>
      <c r="Z28" s="130"/>
      <c r="AA28" s="130"/>
      <c r="AB28" s="130"/>
      <c r="AC28" s="130"/>
      <c r="AD28" s="130"/>
      <c r="AE28" s="130"/>
      <c r="AF28" s="130"/>
      <c r="AG28" s="130"/>
    </row>
    <row r="29" spans="1:33">
      <c r="A29" s="117"/>
      <c r="B29" s="117"/>
      <c r="C29" s="118"/>
      <c r="D29" s="130"/>
      <c r="E29" s="130"/>
      <c r="F29" s="130"/>
      <c r="G29" s="130"/>
      <c r="H29" s="130"/>
      <c r="I29" s="130"/>
      <c r="J29" s="130"/>
      <c r="K29" s="130"/>
      <c r="L29" s="130"/>
      <c r="M29" s="130"/>
      <c r="N29" s="130"/>
      <c r="O29" s="130"/>
      <c r="P29" s="130"/>
      <c r="Q29" s="130"/>
      <c r="R29" s="130"/>
      <c r="S29" s="130"/>
      <c r="T29" s="130"/>
      <c r="U29" s="130"/>
      <c r="V29" s="130"/>
      <c r="W29" s="130"/>
      <c r="X29" s="130"/>
      <c r="Y29" s="130"/>
      <c r="Z29" s="130"/>
      <c r="AA29" s="130"/>
      <c r="AB29" s="130"/>
      <c r="AC29" s="130"/>
      <c r="AD29" s="130"/>
      <c r="AE29" s="130"/>
      <c r="AF29" s="130"/>
      <c r="AG29" s="130"/>
    </row>
    <row r="30" spans="1:33">
      <c r="A30" s="117"/>
      <c r="B30" s="117"/>
      <c r="C30" s="118"/>
      <c r="D30" s="130"/>
      <c r="E30" s="130"/>
      <c r="F30" s="130"/>
      <c r="G30" s="130"/>
      <c r="H30" s="130"/>
      <c r="I30" s="130"/>
      <c r="J30" s="130"/>
      <c r="K30" s="130"/>
      <c r="L30" s="130"/>
      <c r="M30" s="130"/>
      <c r="N30" s="130"/>
      <c r="O30" s="130"/>
      <c r="P30" s="130"/>
      <c r="Q30" s="130"/>
      <c r="R30" s="130"/>
      <c r="S30" s="130"/>
      <c r="T30" s="130"/>
      <c r="U30" s="130"/>
      <c r="V30" s="130"/>
      <c r="W30" s="130"/>
      <c r="X30" s="130"/>
      <c r="Y30" s="130"/>
      <c r="Z30" s="130"/>
      <c r="AA30" s="130"/>
      <c r="AB30" s="130"/>
      <c r="AC30" s="130"/>
      <c r="AD30" s="130"/>
      <c r="AE30" s="130"/>
      <c r="AF30" s="130"/>
      <c r="AG30" s="130"/>
    </row>
    <row r="31" spans="1:33" ht="33.75">
      <c r="A31" s="112" t="s">
        <v>97</v>
      </c>
      <c r="B31" s="112" t="s">
        <v>98</v>
      </c>
      <c r="C31" s="118"/>
      <c r="D31" s="130" t="s">
        <v>921</v>
      </c>
      <c r="E31" s="130" t="s">
        <v>922</v>
      </c>
      <c r="F31" s="130" t="s">
        <v>923</v>
      </c>
      <c r="G31" s="130"/>
      <c r="H31" s="130"/>
      <c r="I31" s="130" t="s">
        <v>924</v>
      </c>
      <c r="J31" s="130"/>
      <c r="K31" s="130" t="s">
        <v>925</v>
      </c>
      <c r="L31" s="130" t="s">
        <v>926</v>
      </c>
      <c r="M31" s="130" t="s">
        <v>927</v>
      </c>
      <c r="N31" s="130"/>
      <c r="O31" s="130" t="s">
        <v>928</v>
      </c>
      <c r="P31" s="130" t="s">
        <v>929</v>
      </c>
      <c r="Q31" s="130"/>
      <c r="R31" s="130" t="s">
        <v>930</v>
      </c>
      <c r="S31" s="130" t="s">
        <v>931</v>
      </c>
      <c r="T31" s="130" t="s">
        <v>932</v>
      </c>
      <c r="U31" s="130" t="s">
        <v>933</v>
      </c>
      <c r="V31" s="130" t="s">
        <v>934</v>
      </c>
      <c r="W31" s="130" t="s">
        <v>935</v>
      </c>
      <c r="X31" s="130"/>
      <c r="Y31" s="130" t="s">
        <v>936</v>
      </c>
      <c r="Z31" s="130" t="s">
        <v>83</v>
      </c>
      <c r="AA31" s="130" t="s">
        <v>937</v>
      </c>
      <c r="AB31" s="130" t="s">
        <v>938</v>
      </c>
      <c r="AC31" s="130"/>
      <c r="AD31" s="130" t="s">
        <v>939</v>
      </c>
      <c r="AE31" s="130"/>
      <c r="AF31" s="130" t="s">
        <v>940</v>
      </c>
      <c r="AG31" s="130" t="s">
        <v>941</v>
      </c>
    </row>
    <row r="32" spans="1:33" ht="22.5">
      <c r="A32" s="112" t="s">
        <v>111</v>
      </c>
      <c r="B32" s="112" t="s">
        <v>112</v>
      </c>
      <c r="C32" s="118"/>
      <c r="D32" s="130" t="s">
        <v>942</v>
      </c>
      <c r="E32" s="130" t="s">
        <v>943</v>
      </c>
      <c r="F32" s="130" t="s">
        <v>944</v>
      </c>
      <c r="G32" s="130" t="s">
        <v>945</v>
      </c>
      <c r="H32" s="130" t="s">
        <v>946</v>
      </c>
      <c r="I32" s="130" t="s">
        <v>947</v>
      </c>
      <c r="J32" s="130"/>
      <c r="K32" s="130" t="s">
        <v>738</v>
      </c>
      <c r="L32" s="130" t="s">
        <v>948</v>
      </c>
      <c r="M32" s="130" t="s">
        <v>949</v>
      </c>
      <c r="N32" s="130" t="s">
        <v>950</v>
      </c>
      <c r="O32" s="130" t="s">
        <v>951</v>
      </c>
      <c r="P32" s="130" t="s">
        <v>952</v>
      </c>
      <c r="Q32" s="130"/>
      <c r="R32" s="130" t="s">
        <v>953</v>
      </c>
      <c r="S32" s="130" t="s">
        <v>954</v>
      </c>
      <c r="T32" s="130" t="s">
        <v>955</v>
      </c>
      <c r="U32" s="130" t="s">
        <v>768</v>
      </c>
      <c r="V32" s="130" t="s">
        <v>749</v>
      </c>
      <c r="W32" s="130" t="s">
        <v>956</v>
      </c>
      <c r="X32" s="130"/>
      <c r="Y32" s="130" t="s">
        <v>957</v>
      </c>
      <c r="Z32" s="130" t="s">
        <v>692</v>
      </c>
      <c r="AA32" s="130" t="s">
        <v>958</v>
      </c>
      <c r="AB32" s="130" t="s">
        <v>959</v>
      </c>
      <c r="AC32" s="130" t="s">
        <v>533</v>
      </c>
      <c r="AD32" s="130" t="s">
        <v>960</v>
      </c>
      <c r="AE32" s="130"/>
      <c r="AF32" s="130" t="s">
        <v>961</v>
      </c>
      <c r="AG32" s="130" t="s">
        <v>962</v>
      </c>
    </row>
    <row r="33" spans="1:33" ht="56.25">
      <c r="A33" s="112" t="s">
        <v>127</v>
      </c>
      <c r="B33" s="112" t="s">
        <v>128</v>
      </c>
      <c r="C33" s="118" t="s">
        <v>963</v>
      </c>
      <c r="D33" s="130" t="s">
        <v>964</v>
      </c>
      <c r="E33" s="130" t="s">
        <v>965</v>
      </c>
      <c r="F33" s="130" t="s">
        <v>966</v>
      </c>
      <c r="G33" s="130" t="s">
        <v>967</v>
      </c>
      <c r="H33" s="130" t="s">
        <v>968</v>
      </c>
      <c r="I33" s="130" t="s">
        <v>683</v>
      </c>
      <c r="J33" s="130"/>
      <c r="K33" s="130"/>
      <c r="L33" s="130"/>
      <c r="M33" s="130" t="s">
        <v>969</v>
      </c>
      <c r="N33" s="130"/>
      <c r="O33" s="130" t="s">
        <v>970</v>
      </c>
      <c r="P33" s="130" t="s">
        <v>971</v>
      </c>
      <c r="Q33" s="130" t="s">
        <v>972</v>
      </c>
      <c r="R33" s="130" t="s">
        <v>973</v>
      </c>
      <c r="S33" s="130" t="s">
        <v>974</v>
      </c>
      <c r="T33" s="130" t="s">
        <v>975</v>
      </c>
      <c r="U33" s="130" t="s">
        <v>685</v>
      </c>
      <c r="V33" s="130" t="s">
        <v>976</v>
      </c>
      <c r="W33" s="130" t="s">
        <v>977</v>
      </c>
      <c r="X33" s="130" t="s">
        <v>978</v>
      </c>
      <c r="Y33" s="130" t="s">
        <v>979</v>
      </c>
      <c r="Z33" s="130" t="s">
        <v>732</v>
      </c>
      <c r="AA33" s="130" t="s">
        <v>980</v>
      </c>
      <c r="AB33" s="130" t="s">
        <v>981</v>
      </c>
      <c r="AC33" s="130"/>
      <c r="AD33" s="130"/>
      <c r="AE33" s="130"/>
      <c r="AF33" s="130" t="s">
        <v>982</v>
      </c>
      <c r="AG33" s="130" t="s">
        <v>983</v>
      </c>
    </row>
    <row r="34" spans="1:33" ht="45">
      <c r="A34" s="112" t="s">
        <v>151</v>
      </c>
      <c r="B34" s="112" t="s">
        <v>152</v>
      </c>
      <c r="C34" s="118" t="s">
        <v>984</v>
      </c>
      <c r="D34" s="130" t="s">
        <v>985</v>
      </c>
      <c r="E34" s="130" t="s">
        <v>986</v>
      </c>
      <c r="F34" s="130" t="s">
        <v>114</v>
      </c>
      <c r="G34" s="130" t="s">
        <v>987</v>
      </c>
      <c r="H34" s="130" t="s">
        <v>988</v>
      </c>
      <c r="I34" s="130" t="s">
        <v>989</v>
      </c>
      <c r="J34" s="130"/>
      <c r="K34" s="130" t="s">
        <v>990</v>
      </c>
      <c r="L34" s="130" t="s">
        <v>991</v>
      </c>
      <c r="M34" s="130"/>
      <c r="N34" s="130"/>
      <c r="O34" s="130" t="s">
        <v>992</v>
      </c>
      <c r="P34" s="130" t="s">
        <v>993</v>
      </c>
      <c r="Q34" s="130" t="s">
        <v>994</v>
      </c>
      <c r="R34" s="130" t="s">
        <v>995</v>
      </c>
      <c r="S34" s="130"/>
      <c r="T34" s="130" t="s">
        <v>996</v>
      </c>
      <c r="U34" s="130" t="s">
        <v>997</v>
      </c>
      <c r="V34" s="130" t="s">
        <v>998</v>
      </c>
      <c r="W34" s="130" t="s">
        <v>999</v>
      </c>
      <c r="X34" s="130"/>
      <c r="Y34" s="130" t="s">
        <v>1000</v>
      </c>
      <c r="Z34" s="130" t="s">
        <v>1001</v>
      </c>
      <c r="AA34" s="130" t="s">
        <v>1002</v>
      </c>
      <c r="AB34" s="130" t="s">
        <v>1003</v>
      </c>
      <c r="AC34" s="130"/>
      <c r="AD34" s="130" t="s">
        <v>1004</v>
      </c>
      <c r="AE34" s="130"/>
      <c r="AF34" s="130" t="s">
        <v>1005</v>
      </c>
      <c r="AG34" s="130" t="s">
        <v>1006</v>
      </c>
    </row>
    <row r="35" spans="1:33" ht="22.5">
      <c r="A35" s="112" t="s">
        <v>178</v>
      </c>
      <c r="B35" s="112" t="s">
        <v>179</v>
      </c>
      <c r="C35" s="118" t="s">
        <v>1007</v>
      </c>
      <c r="D35" s="130" t="s">
        <v>1008</v>
      </c>
      <c r="E35" s="130" t="s">
        <v>1009</v>
      </c>
      <c r="F35" s="130" t="s">
        <v>1010</v>
      </c>
      <c r="G35" s="130" t="s">
        <v>1011</v>
      </c>
      <c r="H35" s="130" t="s">
        <v>1012</v>
      </c>
      <c r="I35" s="130" t="s">
        <v>1013</v>
      </c>
      <c r="J35" s="130" t="s">
        <v>1014</v>
      </c>
      <c r="K35" s="130" t="s">
        <v>794</v>
      </c>
      <c r="L35" s="130" t="s">
        <v>1015</v>
      </c>
      <c r="M35" s="130" t="s">
        <v>1016</v>
      </c>
      <c r="N35" s="130"/>
      <c r="O35" s="130" t="s">
        <v>1017</v>
      </c>
      <c r="P35" s="130" t="s">
        <v>1018</v>
      </c>
      <c r="Q35" s="130" t="s">
        <v>1019</v>
      </c>
      <c r="R35" s="130" t="s">
        <v>1020</v>
      </c>
      <c r="S35" s="130" t="s">
        <v>1021</v>
      </c>
      <c r="T35" s="130" t="s">
        <v>1022</v>
      </c>
      <c r="U35" s="130" t="s">
        <v>1023</v>
      </c>
      <c r="V35" s="130" t="s">
        <v>1024</v>
      </c>
      <c r="W35" s="130" t="s">
        <v>1025</v>
      </c>
      <c r="X35" s="130" t="s">
        <v>1026</v>
      </c>
      <c r="Y35" s="130" t="s">
        <v>1027</v>
      </c>
      <c r="Z35" s="130" t="s">
        <v>663</v>
      </c>
      <c r="AA35" s="130" t="s">
        <v>1028</v>
      </c>
      <c r="AB35" s="130" t="s">
        <v>1029</v>
      </c>
      <c r="AC35" s="130"/>
      <c r="AD35" s="130" t="s">
        <v>1030</v>
      </c>
      <c r="AE35" s="130" t="s">
        <v>1031</v>
      </c>
      <c r="AF35" s="130" t="s">
        <v>1032</v>
      </c>
      <c r="AG35" s="130" t="s">
        <v>1033</v>
      </c>
    </row>
    <row r="36" spans="1:33">
      <c r="A36" s="112" t="s">
        <v>192</v>
      </c>
      <c r="B36" s="112" t="s">
        <v>193</v>
      </c>
      <c r="C36" s="118"/>
      <c r="D36" s="130" t="s">
        <v>1034</v>
      </c>
      <c r="E36" s="130" t="s">
        <v>1035</v>
      </c>
      <c r="F36" s="130" t="s">
        <v>1036</v>
      </c>
      <c r="G36" s="130" t="s">
        <v>967</v>
      </c>
      <c r="H36" s="130" t="s">
        <v>968</v>
      </c>
      <c r="I36" s="130" t="s">
        <v>749</v>
      </c>
      <c r="J36" s="130"/>
      <c r="K36" s="130" t="s">
        <v>1037</v>
      </c>
      <c r="L36" s="130" t="s">
        <v>1038</v>
      </c>
      <c r="M36" s="130" t="s">
        <v>1039</v>
      </c>
      <c r="N36" s="130"/>
      <c r="O36" s="130" t="s">
        <v>114</v>
      </c>
      <c r="P36" s="130"/>
      <c r="Q36" s="130"/>
      <c r="R36" s="130"/>
      <c r="S36" s="130"/>
      <c r="T36" s="130"/>
      <c r="U36" s="130" t="s">
        <v>790</v>
      </c>
      <c r="V36" s="130"/>
      <c r="W36" s="130"/>
      <c r="X36" s="130"/>
      <c r="Y36" s="130" t="s">
        <v>1040</v>
      </c>
      <c r="Z36" s="130"/>
      <c r="AA36" s="130"/>
      <c r="AB36" s="130"/>
      <c r="AC36" s="130"/>
      <c r="AD36" s="130"/>
      <c r="AE36" s="130"/>
      <c r="AF36" s="130"/>
      <c r="AG36" s="130"/>
    </row>
    <row r="37" spans="1:33" ht="22.5">
      <c r="A37" s="112" t="s">
        <v>205</v>
      </c>
      <c r="B37" s="112" t="s">
        <v>206</v>
      </c>
      <c r="C37" s="118" t="s">
        <v>1041</v>
      </c>
      <c r="D37" s="130" t="s">
        <v>1042</v>
      </c>
      <c r="E37" s="130" t="s">
        <v>1043</v>
      </c>
      <c r="F37" s="130" t="s">
        <v>1044</v>
      </c>
      <c r="G37" s="130" t="s">
        <v>1045</v>
      </c>
      <c r="H37" s="130" t="s">
        <v>1046</v>
      </c>
      <c r="I37" s="130" t="s">
        <v>1047</v>
      </c>
      <c r="J37" s="130" t="s">
        <v>1048</v>
      </c>
      <c r="K37" s="130" t="s">
        <v>1049</v>
      </c>
      <c r="L37" s="130" t="s">
        <v>1050</v>
      </c>
      <c r="M37" s="130" t="s">
        <v>1051</v>
      </c>
      <c r="N37" s="130"/>
      <c r="O37" s="130"/>
      <c r="P37" s="130"/>
      <c r="Q37" s="130"/>
      <c r="R37" s="130" t="s">
        <v>1052</v>
      </c>
      <c r="S37" s="130" t="s">
        <v>1053</v>
      </c>
      <c r="T37" s="130" t="s">
        <v>949</v>
      </c>
      <c r="U37" s="130" t="s">
        <v>1054</v>
      </c>
      <c r="V37" s="130" t="s">
        <v>1055</v>
      </c>
      <c r="W37" s="130" t="s">
        <v>1056</v>
      </c>
      <c r="X37" s="130" t="s">
        <v>1057</v>
      </c>
      <c r="Y37" s="130" t="s">
        <v>717</v>
      </c>
      <c r="Z37" s="130" t="s">
        <v>1058</v>
      </c>
      <c r="AA37" s="130" t="s">
        <v>1059</v>
      </c>
      <c r="AB37" s="130" t="s">
        <v>1060</v>
      </c>
      <c r="AC37" s="130" t="s">
        <v>811</v>
      </c>
      <c r="AD37" s="130" t="s">
        <v>1061</v>
      </c>
      <c r="AE37" s="130" t="s">
        <v>1062</v>
      </c>
      <c r="AF37" s="130" t="s">
        <v>1063</v>
      </c>
      <c r="AG37" s="130" t="s">
        <v>1064</v>
      </c>
    </row>
    <row r="38" spans="1:33" ht="22.5">
      <c r="A38" s="112" t="s">
        <v>673</v>
      </c>
      <c r="B38" s="112" t="s">
        <v>674</v>
      </c>
      <c r="C38" s="118"/>
      <c r="D38" s="130"/>
      <c r="E38" s="130"/>
      <c r="F38" s="130"/>
      <c r="G38" s="130"/>
      <c r="H38" s="130"/>
      <c r="I38" s="130"/>
      <c r="J38" s="130"/>
      <c r="K38" s="130"/>
      <c r="L38" s="130"/>
      <c r="M38" s="130"/>
      <c r="N38" s="130"/>
      <c r="O38" s="130"/>
      <c r="P38" s="130"/>
      <c r="Q38" s="130"/>
      <c r="R38" s="130" t="s">
        <v>1065</v>
      </c>
      <c r="S38" s="130" t="s">
        <v>1066</v>
      </c>
      <c r="T38" s="130" t="s">
        <v>1067</v>
      </c>
      <c r="U38" s="130"/>
      <c r="V38" s="130" t="s">
        <v>732</v>
      </c>
      <c r="W38" s="130"/>
      <c r="X38" s="130"/>
      <c r="Y38" s="130"/>
      <c r="Z38" s="130"/>
      <c r="AA38" s="130"/>
      <c r="AB38" s="130"/>
      <c r="AC38" s="130"/>
      <c r="AD38" s="130"/>
      <c r="AE38" s="130"/>
      <c r="AF38" s="130"/>
      <c r="AG38" s="130"/>
    </row>
    <row r="39" spans="1:33" ht="22.5">
      <c r="A39" s="112" t="s">
        <v>675</v>
      </c>
      <c r="B39" s="112" t="s">
        <v>676</v>
      </c>
      <c r="C39" s="118"/>
      <c r="D39" s="130" t="s">
        <v>1068</v>
      </c>
      <c r="E39" s="130" t="s">
        <v>1069</v>
      </c>
      <c r="F39" s="130"/>
      <c r="G39" s="130"/>
      <c r="H39" s="130"/>
      <c r="I39" s="130" t="s">
        <v>1070</v>
      </c>
      <c r="J39" s="130"/>
      <c r="K39" s="130" t="s">
        <v>1071</v>
      </c>
      <c r="L39" s="130" t="s">
        <v>1072</v>
      </c>
      <c r="M39" s="130" t="s">
        <v>1073</v>
      </c>
      <c r="N39" s="130"/>
      <c r="O39" s="130"/>
      <c r="P39" s="130" t="s">
        <v>1074</v>
      </c>
      <c r="Q39" s="130"/>
      <c r="R39" s="130" t="s">
        <v>1075</v>
      </c>
      <c r="S39" s="130" t="s">
        <v>1076</v>
      </c>
      <c r="T39" s="130" t="s">
        <v>1077</v>
      </c>
      <c r="U39" s="130" t="s">
        <v>1078</v>
      </c>
      <c r="V39" s="130" t="s">
        <v>1079</v>
      </c>
      <c r="W39" s="130"/>
      <c r="X39" s="130"/>
      <c r="Y39" s="130"/>
      <c r="Z39" s="130"/>
      <c r="AA39" s="130"/>
      <c r="AB39" s="130"/>
      <c r="AC39" s="130"/>
      <c r="AD39" s="130"/>
      <c r="AE39" s="130"/>
      <c r="AF39" s="130"/>
      <c r="AG39" s="130"/>
    </row>
    <row r="40" spans="1:33" ht="45">
      <c r="A40" s="112" t="s">
        <v>254</v>
      </c>
      <c r="B40" s="112" t="s">
        <v>255</v>
      </c>
      <c r="C40" s="118" t="s">
        <v>1080</v>
      </c>
      <c r="D40" s="130" t="s">
        <v>1081</v>
      </c>
      <c r="E40" s="130" t="s">
        <v>1082</v>
      </c>
      <c r="F40" s="130" t="s">
        <v>1083</v>
      </c>
      <c r="G40" s="130" t="s">
        <v>1084</v>
      </c>
      <c r="H40" s="130" t="s">
        <v>1085</v>
      </c>
      <c r="I40" s="130" t="s">
        <v>1086</v>
      </c>
      <c r="J40" s="130" t="s">
        <v>1087</v>
      </c>
      <c r="K40" s="130" t="s">
        <v>1088</v>
      </c>
      <c r="L40" s="130" t="s">
        <v>1089</v>
      </c>
      <c r="M40" s="130" t="s">
        <v>1090</v>
      </c>
      <c r="N40" s="130"/>
      <c r="O40" s="130" t="s">
        <v>1091</v>
      </c>
      <c r="P40" s="130"/>
      <c r="Q40" s="130"/>
      <c r="R40" s="130"/>
      <c r="S40" s="130" t="s">
        <v>1092</v>
      </c>
      <c r="T40" s="130" t="s">
        <v>1093</v>
      </c>
      <c r="U40" s="130" t="s">
        <v>1094</v>
      </c>
      <c r="V40" s="130" t="s">
        <v>1095</v>
      </c>
      <c r="W40" s="130" t="s">
        <v>1096</v>
      </c>
      <c r="X40" s="130" t="s">
        <v>1097</v>
      </c>
      <c r="Y40" s="130" t="s">
        <v>1098</v>
      </c>
      <c r="Z40" s="130" t="s">
        <v>768</v>
      </c>
      <c r="AA40" s="130" t="s">
        <v>1099</v>
      </c>
      <c r="AB40" s="130" t="s">
        <v>1100</v>
      </c>
      <c r="AC40" s="130"/>
      <c r="AD40" s="130" t="s">
        <v>1101</v>
      </c>
      <c r="AE40" s="130" t="s">
        <v>1102</v>
      </c>
      <c r="AF40" s="130" t="s">
        <v>1103</v>
      </c>
      <c r="AG40" s="130" t="s">
        <v>1104</v>
      </c>
    </row>
    <row r="41" spans="1:33" ht="22.5">
      <c r="A41" s="112" t="s">
        <v>268</v>
      </c>
      <c r="B41" s="112" t="s">
        <v>269</v>
      </c>
      <c r="C41" s="118"/>
      <c r="D41" s="130" t="s">
        <v>1105</v>
      </c>
      <c r="E41" s="130" t="s">
        <v>1106</v>
      </c>
      <c r="F41" s="130" t="s">
        <v>698</v>
      </c>
      <c r="G41" s="130"/>
      <c r="H41" s="130" t="s">
        <v>1107</v>
      </c>
      <c r="I41" s="130" t="s">
        <v>698</v>
      </c>
      <c r="J41" s="130"/>
      <c r="K41" s="130" t="s">
        <v>1108</v>
      </c>
      <c r="L41" s="130" t="s">
        <v>1109</v>
      </c>
      <c r="M41" s="130" t="s">
        <v>1110</v>
      </c>
      <c r="N41" s="130"/>
      <c r="O41" s="130" t="s">
        <v>1111</v>
      </c>
      <c r="P41" s="130" t="s">
        <v>1112</v>
      </c>
      <c r="Q41" s="130" t="s">
        <v>1113</v>
      </c>
      <c r="R41" s="130" t="s">
        <v>694</v>
      </c>
      <c r="S41" s="130" t="s">
        <v>1114</v>
      </c>
      <c r="T41" s="130" t="s">
        <v>1115</v>
      </c>
      <c r="U41" s="130" t="s">
        <v>1116</v>
      </c>
      <c r="V41" s="130" t="s">
        <v>1117</v>
      </c>
      <c r="W41" s="130" t="s">
        <v>1118</v>
      </c>
      <c r="X41" s="130"/>
      <c r="Y41" s="130" t="s">
        <v>1119</v>
      </c>
      <c r="Z41" s="130" t="s">
        <v>1120</v>
      </c>
      <c r="AA41" s="130" t="s">
        <v>1121</v>
      </c>
      <c r="AB41" s="130" t="s">
        <v>1122</v>
      </c>
      <c r="AC41" s="130" t="s">
        <v>1123</v>
      </c>
      <c r="AD41" s="130" t="s">
        <v>1124</v>
      </c>
      <c r="AE41" s="130"/>
      <c r="AF41" s="130" t="s">
        <v>664</v>
      </c>
      <c r="AG41" s="130" t="s">
        <v>1125</v>
      </c>
    </row>
    <row r="42" spans="1:33" ht="22.5">
      <c r="A42" s="112" t="s">
        <v>284</v>
      </c>
      <c r="B42" s="112" t="s">
        <v>285</v>
      </c>
      <c r="C42" s="118"/>
      <c r="D42" s="130" t="s">
        <v>693</v>
      </c>
      <c r="E42" s="130" t="s">
        <v>1126</v>
      </c>
      <c r="F42" s="130" t="s">
        <v>697</v>
      </c>
      <c r="G42" s="130"/>
      <c r="H42" s="130"/>
      <c r="I42" s="130" t="s">
        <v>1127</v>
      </c>
      <c r="J42" s="130"/>
      <c r="K42" s="130" t="s">
        <v>1128</v>
      </c>
      <c r="L42" s="130"/>
      <c r="M42" s="130" t="s">
        <v>1129</v>
      </c>
      <c r="N42" s="130"/>
      <c r="O42" s="130" t="s">
        <v>1130</v>
      </c>
      <c r="P42" s="130" t="s">
        <v>1131</v>
      </c>
      <c r="Q42" s="130" t="s">
        <v>1132</v>
      </c>
      <c r="R42" s="130" t="s">
        <v>1133</v>
      </c>
      <c r="S42" s="130" t="s">
        <v>187</v>
      </c>
      <c r="T42" s="130" t="s">
        <v>1134</v>
      </c>
      <c r="U42" s="130"/>
      <c r="V42" s="130" t="s">
        <v>695</v>
      </c>
      <c r="W42" s="130" t="s">
        <v>1135</v>
      </c>
      <c r="X42" s="130"/>
      <c r="Y42" s="130" t="s">
        <v>1133</v>
      </c>
      <c r="Z42" s="130" t="s">
        <v>1136</v>
      </c>
      <c r="AA42" s="130" t="s">
        <v>1137</v>
      </c>
      <c r="AB42" s="130" t="s">
        <v>1138</v>
      </c>
      <c r="AC42" s="130" t="s">
        <v>1139</v>
      </c>
      <c r="AD42" s="130"/>
      <c r="AE42" s="130"/>
      <c r="AF42" s="130" t="s">
        <v>1140</v>
      </c>
      <c r="AG42" s="130" t="s">
        <v>1141</v>
      </c>
    </row>
    <row r="43" spans="1:33" ht="22.5">
      <c r="A43" s="112" t="s">
        <v>295</v>
      </c>
      <c r="B43" s="112" t="s">
        <v>296</v>
      </c>
      <c r="C43" s="118" t="s">
        <v>1142</v>
      </c>
      <c r="D43" s="130" t="s">
        <v>1143</v>
      </c>
      <c r="E43" s="130" t="s">
        <v>1144</v>
      </c>
      <c r="F43" s="130" t="s">
        <v>1145</v>
      </c>
      <c r="G43" s="130"/>
      <c r="H43" s="130" t="s">
        <v>1146</v>
      </c>
      <c r="I43" s="130" t="s">
        <v>1147</v>
      </c>
      <c r="J43" s="130"/>
      <c r="K43" s="130" t="s">
        <v>1148</v>
      </c>
      <c r="L43" s="130" t="s">
        <v>1149</v>
      </c>
      <c r="M43" s="130" t="s">
        <v>1116</v>
      </c>
      <c r="N43" s="130"/>
      <c r="O43" s="130" t="s">
        <v>1150</v>
      </c>
      <c r="P43" s="130" t="s">
        <v>1151</v>
      </c>
      <c r="Q43" s="130"/>
      <c r="R43" s="130"/>
      <c r="S43" s="130" t="s">
        <v>1152</v>
      </c>
      <c r="T43" s="130" t="s">
        <v>1153</v>
      </c>
      <c r="U43" s="130" t="s">
        <v>1154</v>
      </c>
      <c r="V43" s="130" t="s">
        <v>1155</v>
      </c>
      <c r="W43" s="130" t="s">
        <v>1156</v>
      </c>
      <c r="X43" s="130"/>
      <c r="Y43" s="130" t="s">
        <v>1157</v>
      </c>
      <c r="Z43" s="130" t="s">
        <v>1158</v>
      </c>
      <c r="AA43" s="130" t="s">
        <v>1159</v>
      </c>
      <c r="AB43" s="130" t="s">
        <v>1160</v>
      </c>
      <c r="AC43" s="130"/>
      <c r="AD43" s="130" t="s">
        <v>1161</v>
      </c>
      <c r="AE43" s="130" t="s">
        <v>1162</v>
      </c>
      <c r="AF43" s="130" t="s">
        <v>1163</v>
      </c>
      <c r="AG43" s="130" t="s">
        <v>969</v>
      </c>
    </row>
    <row r="44" spans="1:33" ht="22.5">
      <c r="A44" s="112" t="s">
        <v>336</v>
      </c>
      <c r="B44" s="112" t="s">
        <v>337</v>
      </c>
      <c r="C44" s="118"/>
      <c r="D44" s="130" t="s">
        <v>1164</v>
      </c>
      <c r="E44" s="130" t="s">
        <v>1165</v>
      </c>
      <c r="F44" s="130" t="s">
        <v>1166</v>
      </c>
      <c r="G44" s="130"/>
      <c r="H44" s="130" t="s">
        <v>696</v>
      </c>
      <c r="I44" s="130" t="s">
        <v>1167</v>
      </c>
      <c r="J44" s="130"/>
      <c r="K44" s="130" t="s">
        <v>1168</v>
      </c>
      <c r="L44" s="130" t="s">
        <v>1169</v>
      </c>
      <c r="M44" s="130" t="s">
        <v>1170</v>
      </c>
      <c r="N44" s="130"/>
      <c r="O44" s="130" t="s">
        <v>1171</v>
      </c>
      <c r="P44" s="130" t="s">
        <v>1172</v>
      </c>
      <c r="Q44" s="130"/>
      <c r="R44" s="130" t="s">
        <v>1173</v>
      </c>
      <c r="S44" s="130" t="s">
        <v>1174</v>
      </c>
      <c r="T44" s="130" t="s">
        <v>1175</v>
      </c>
      <c r="U44" s="130" t="s">
        <v>1176</v>
      </c>
      <c r="V44" s="130" t="s">
        <v>1177</v>
      </c>
      <c r="W44" s="130" t="s">
        <v>1178</v>
      </c>
      <c r="X44" s="130"/>
      <c r="Y44" s="130" t="s">
        <v>1179</v>
      </c>
      <c r="Z44" s="130" t="s">
        <v>1180</v>
      </c>
      <c r="AA44" s="130" t="s">
        <v>1181</v>
      </c>
      <c r="AB44" s="130" t="s">
        <v>1182</v>
      </c>
      <c r="AC44" s="130"/>
      <c r="AD44" s="130" t="s">
        <v>1183</v>
      </c>
      <c r="AE44" s="130"/>
      <c r="AF44" s="130" t="s">
        <v>1184</v>
      </c>
      <c r="AG44" s="130" t="s">
        <v>1185</v>
      </c>
    </row>
    <row r="45" spans="1:33" ht="22.5">
      <c r="A45" s="112" t="s">
        <v>349</v>
      </c>
      <c r="B45" s="112" t="s">
        <v>350</v>
      </c>
      <c r="C45" s="118" t="s">
        <v>1186</v>
      </c>
      <c r="D45" s="130" t="s">
        <v>1187</v>
      </c>
      <c r="E45" s="130" t="s">
        <v>1188</v>
      </c>
      <c r="F45" s="130" t="s">
        <v>1189</v>
      </c>
      <c r="G45" s="130"/>
      <c r="H45" s="130" t="s">
        <v>1190</v>
      </c>
      <c r="I45" s="130" t="s">
        <v>1191</v>
      </c>
      <c r="J45" s="130"/>
      <c r="K45" s="130" t="s">
        <v>754</v>
      </c>
      <c r="L45" s="130" t="s">
        <v>1192</v>
      </c>
      <c r="M45" s="130" t="s">
        <v>1193</v>
      </c>
      <c r="N45" s="130"/>
      <c r="O45" s="130" t="s">
        <v>1194</v>
      </c>
      <c r="P45" s="130" t="s">
        <v>1195</v>
      </c>
      <c r="Q45" s="130"/>
      <c r="R45" s="130" t="s">
        <v>1196</v>
      </c>
      <c r="S45" s="130"/>
      <c r="T45" s="130" t="s">
        <v>1197</v>
      </c>
      <c r="U45" s="130" t="s">
        <v>1198</v>
      </c>
      <c r="V45" s="130" t="s">
        <v>1199</v>
      </c>
      <c r="W45" s="130" t="s">
        <v>1200</v>
      </c>
      <c r="X45" s="130"/>
      <c r="Y45" s="130" t="s">
        <v>1201</v>
      </c>
      <c r="Z45" s="130" t="s">
        <v>1202</v>
      </c>
      <c r="AA45" s="130" t="s">
        <v>1203</v>
      </c>
      <c r="AB45" s="130" t="s">
        <v>1204</v>
      </c>
      <c r="AC45" s="130"/>
      <c r="AD45" s="130" t="s">
        <v>1205</v>
      </c>
      <c r="AE45" s="130"/>
      <c r="AF45" s="130" t="s">
        <v>1206</v>
      </c>
      <c r="AG45" s="130" t="s">
        <v>1207</v>
      </c>
    </row>
    <row r="46" spans="1:33" ht="22.5">
      <c r="A46" s="112" t="s">
        <v>366</v>
      </c>
      <c r="B46" s="112" t="s">
        <v>367</v>
      </c>
      <c r="C46" s="118" t="s">
        <v>1208</v>
      </c>
      <c r="D46" s="130" t="s">
        <v>844</v>
      </c>
      <c r="E46" s="130" t="s">
        <v>1209</v>
      </c>
      <c r="F46" s="130" t="s">
        <v>1210</v>
      </c>
      <c r="G46" s="130" t="s">
        <v>1211</v>
      </c>
      <c r="H46" s="130" t="s">
        <v>1212</v>
      </c>
      <c r="I46" s="130" t="s">
        <v>1213</v>
      </c>
      <c r="J46" s="130" t="s">
        <v>1214</v>
      </c>
      <c r="K46" s="130" t="s">
        <v>1215</v>
      </c>
      <c r="L46" s="130" t="s">
        <v>1216</v>
      </c>
      <c r="M46" s="130" t="s">
        <v>1217</v>
      </c>
      <c r="N46" s="130" t="s">
        <v>699</v>
      </c>
      <c r="O46" s="130" t="s">
        <v>1218</v>
      </c>
      <c r="P46" s="130" t="s">
        <v>844</v>
      </c>
      <c r="Q46" s="130" t="s">
        <v>843</v>
      </c>
      <c r="R46" s="130" t="s">
        <v>1219</v>
      </c>
      <c r="S46" s="130" t="s">
        <v>1220</v>
      </c>
      <c r="T46" s="130" t="s">
        <v>1221</v>
      </c>
      <c r="U46" s="130" t="s">
        <v>1222</v>
      </c>
      <c r="V46" s="130" t="s">
        <v>1223</v>
      </c>
      <c r="W46" s="130" t="s">
        <v>1224</v>
      </c>
      <c r="X46" s="130" t="s">
        <v>1225</v>
      </c>
      <c r="Y46" s="130" t="s">
        <v>624</v>
      </c>
      <c r="Z46" s="130" t="s">
        <v>1226</v>
      </c>
      <c r="AA46" s="130" t="s">
        <v>700</v>
      </c>
      <c r="AB46" s="130" t="s">
        <v>1227</v>
      </c>
      <c r="AC46" s="130" t="s">
        <v>1228</v>
      </c>
      <c r="AD46" s="130" t="s">
        <v>1229</v>
      </c>
      <c r="AE46" s="130" t="s">
        <v>1230</v>
      </c>
      <c r="AF46" s="130" t="s">
        <v>843</v>
      </c>
      <c r="AG46" s="130"/>
    </row>
    <row r="47" spans="1:33" ht="33.75">
      <c r="A47" s="112" t="s">
        <v>378</v>
      </c>
      <c r="B47" s="112" t="s">
        <v>379</v>
      </c>
      <c r="C47" s="118"/>
      <c r="D47" s="130" t="s">
        <v>1231</v>
      </c>
      <c r="E47" s="130" t="s">
        <v>708</v>
      </c>
      <c r="F47" s="130" t="s">
        <v>1232</v>
      </c>
      <c r="G47" s="130" t="s">
        <v>1233</v>
      </c>
      <c r="H47" s="130" t="s">
        <v>1234</v>
      </c>
      <c r="I47" s="130" t="s">
        <v>1235</v>
      </c>
      <c r="J47" s="130" t="s">
        <v>1236</v>
      </c>
      <c r="K47" s="130"/>
      <c r="L47" s="130"/>
      <c r="M47" s="130"/>
      <c r="N47" s="130"/>
      <c r="O47" s="130"/>
      <c r="P47" s="130"/>
      <c r="Q47" s="130"/>
      <c r="R47" s="130"/>
      <c r="S47" s="130"/>
      <c r="T47" s="130"/>
      <c r="U47" s="130"/>
      <c r="V47" s="130"/>
      <c r="W47" s="130"/>
      <c r="X47" s="130"/>
      <c r="Y47" s="130" t="s">
        <v>1237</v>
      </c>
      <c r="Z47" s="130" t="s">
        <v>1238</v>
      </c>
      <c r="AA47" s="130" t="s">
        <v>1239</v>
      </c>
      <c r="AB47" s="130" t="s">
        <v>1240</v>
      </c>
      <c r="AC47" s="130" t="s">
        <v>1241</v>
      </c>
      <c r="AD47" s="130" t="s">
        <v>1242</v>
      </c>
      <c r="AE47" s="130" t="s">
        <v>1243</v>
      </c>
      <c r="AF47" s="130" t="s">
        <v>1244</v>
      </c>
      <c r="AG47" s="130" t="s">
        <v>643</v>
      </c>
    </row>
    <row r="48" spans="1:33" ht="33.75">
      <c r="A48" s="112" t="s">
        <v>395</v>
      </c>
      <c r="B48" s="112" t="s">
        <v>396</v>
      </c>
      <c r="C48" s="118" t="s">
        <v>1245</v>
      </c>
      <c r="D48" s="130" t="s">
        <v>1246</v>
      </c>
      <c r="E48" s="130"/>
      <c r="F48" s="130"/>
      <c r="G48" s="130"/>
      <c r="H48" s="130"/>
      <c r="I48" s="130"/>
      <c r="J48" s="130"/>
      <c r="K48" s="130" t="s">
        <v>1247</v>
      </c>
      <c r="L48" s="130" t="s">
        <v>1248</v>
      </c>
      <c r="M48" s="130" t="s">
        <v>1249</v>
      </c>
      <c r="N48" s="130" t="s">
        <v>1250</v>
      </c>
      <c r="O48" s="130" t="s">
        <v>1251</v>
      </c>
      <c r="P48" s="130" t="s">
        <v>1252</v>
      </c>
      <c r="Q48" s="130" t="s">
        <v>1253</v>
      </c>
      <c r="R48" s="130" t="s">
        <v>1254</v>
      </c>
      <c r="S48" s="130" t="s">
        <v>702</v>
      </c>
      <c r="T48" s="130" t="s">
        <v>1255</v>
      </c>
      <c r="U48" s="130" t="s">
        <v>1256</v>
      </c>
      <c r="V48" s="130" t="s">
        <v>703</v>
      </c>
      <c r="W48" s="130" t="s">
        <v>630</v>
      </c>
      <c r="X48" s="130" t="s">
        <v>1257</v>
      </c>
      <c r="Y48" s="130" t="s">
        <v>1258</v>
      </c>
      <c r="Z48" s="130"/>
      <c r="AA48" s="130"/>
      <c r="AB48" s="130"/>
      <c r="AC48" s="130"/>
      <c r="AD48" s="130"/>
      <c r="AE48" s="130"/>
      <c r="AF48" s="130" t="s">
        <v>1259</v>
      </c>
      <c r="AG48" s="130" t="s">
        <v>1260</v>
      </c>
    </row>
    <row r="49" spans="1:33" ht="33.75">
      <c r="A49" s="112" t="s">
        <v>404</v>
      </c>
      <c r="B49" s="112" t="s">
        <v>405</v>
      </c>
      <c r="C49" s="118" t="s">
        <v>704</v>
      </c>
      <c r="D49" s="130" t="s">
        <v>1261</v>
      </c>
      <c r="E49" s="130" t="s">
        <v>1262</v>
      </c>
      <c r="F49" s="130" t="s">
        <v>1263</v>
      </c>
      <c r="G49" s="130" t="s">
        <v>1264</v>
      </c>
      <c r="H49" s="130" t="s">
        <v>1265</v>
      </c>
      <c r="I49" s="130" t="s">
        <v>1266</v>
      </c>
      <c r="J49" s="130" t="s">
        <v>706</v>
      </c>
      <c r="K49" s="130" t="s">
        <v>677</v>
      </c>
      <c r="L49" s="130" t="s">
        <v>1267</v>
      </c>
      <c r="M49" s="130" t="s">
        <v>705</v>
      </c>
      <c r="N49" s="130" t="s">
        <v>1268</v>
      </c>
      <c r="O49" s="130" t="s">
        <v>1269</v>
      </c>
      <c r="P49" s="130" t="s">
        <v>1270</v>
      </c>
      <c r="Q49" s="130" t="s">
        <v>701</v>
      </c>
      <c r="R49" s="130" t="s">
        <v>1271</v>
      </c>
      <c r="S49" s="130" t="s">
        <v>707</v>
      </c>
      <c r="T49" s="130" t="s">
        <v>709</v>
      </c>
      <c r="U49" s="130" t="s">
        <v>1272</v>
      </c>
      <c r="V49" s="130" t="s">
        <v>1273</v>
      </c>
      <c r="W49" s="130" t="s">
        <v>710</v>
      </c>
      <c r="X49" s="130" t="s">
        <v>1274</v>
      </c>
      <c r="Y49" s="130" t="s">
        <v>710</v>
      </c>
      <c r="Z49" s="130" t="s">
        <v>1275</v>
      </c>
      <c r="AA49" s="130" t="s">
        <v>1276</v>
      </c>
      <c r="AB49" s="130" t="s">
        <v>1277</v>
      </c>
      <c r="AC49" s="130" t="s">
        <v>1278</v>
      </c>
      <c r="AD49" s="130" t="s">
        <v>1279</v>
      </c>
      <c r="AE49" s="130" t="s">
        <v>1280</v>
      </c>
      <c r="AF49" s="130" t="s">
        <v>1281</v>
      </c>
      <c r="AG49" s="130" t="s">
        <v>705</v>
      </c>
    </row>
    <row r="50" spans="1:33" ht="33.75">
      <c r="A50" s="112" t="s">
        <v>712</v>
      </c>
      <c r="B50" s="112" t="s">
        <v>711</v>
      </c>
      <c r="C50" s="118"/>
      <c r="D50" s="130" t="s">
        <v>1282</v>
      </c>
      <c r="E50" s="130" t="s">
        <v>1283</v>
      </c>
      <c r="F50" s="130" t="s">
        <v>1284</v>
      </c>
      <c r="G50" s="130"/>
      <c r="H50" s="130" t="s">
        <v>1285</v>
      </c>
      <c r="I50" s="130" t="s">
        <v>1286</v>
      </c>
      <c r="J50" s="130"/>
      <c r="K50" s="130" t="s">
        <v>1287</v>
      </c>
      <c r="L50" s="130" t="s">
        <v>1288</v>
      </c>
      <c r="M50" s="130"/>
      <c r="N50" s="130"/>
      <c r="O50" s="130"/>
      <c r="P50" s="130"/>
      <c r="Q50" s="130"/>
      <c r="R50" s="130"/>
      <c r="S50" s="130"/>
      <c r="T50" s="130" t="s">
        <v>1289</v>
      </c>
      <c r="U50" s="130" t="s">
        <v>1290</v>
      </c>
      <c r="V50" s="130" t="s">
        <v>1291</v>
      </c>
      <c r="W50" s="130" t="s">
        <v>1292</v>
      </c>
      <c r="X50" s="130"/>
      <c r="Y50" s="130" t="s">
        <v>1293</v>
      </c>
      <c r="Z50" s="130" t="s">
        <v>1294</v>
      </c>
      <c r="AA50" s="130" t="s">
        <v>1295</v>
      </c>
      <c r="AB50" s="130" t="s">
        <v>1296</v>
      </c>
      <c r="AC50" s="130"/>
      <c r="AD50" s="130" t="s">
        <v>1297</v>
      </c>
      <c r="AE50" s="130"/>
      <c r="AF50" s="130" t="s">
        <v>1298</v>
      </c>
      <c r="AG50" s="130" t="s">
        <v>1299</v>
      </c>
    </row>
    <row r="51" spans="1:33" ht="33.75">
      <c r="A51" s="112" t="s">
        <v>714</v>
      </c>
      <c r="B51" s="112" t="s">
        <v>713</v>
      </c>
      <c r="C51" s="118"/>
      <c r="D51" s="130" t="s">
        <v>1300</v>
      </c>
      <c r="E51" s="130" t="s">
        <v>1301</v>
      </c>
      <c r="F51" s="130"/>
      <c r="G51" s="130" t="s">
        <v>1302</v>
      </c>
      <c r="H51" s="130" t="s">
        <v>1303</v>
      </c>
      <c r="I51" s="130"/>
      <c r="J51" s="130"/>
      <c r="K51" s="130"/>
      <c r="L51" s="130"/>
      <c r="M51" s="130"/>
      <c r="N51" s="130"/>
      <c r="O51" s="130"/>
      <c r="P51" s="130"/>
      <c r="Q51" s="130"/>
      <c r="R51" s="130"/>
      <c r="S51" s="130"/>
      <c r="T51" s="130"/>
      <c r="U51" s="130"/>
      <c r="V51" s="130" t="s">
        <v>1304</v>
      </c>
      <c r="W51" s="130"/>
      <c r="X51" s="130"/>
      <c r="Y51" s="130" t="s">
        <v>1305</v>
      </c>
      <c r="Z51" s="130" t="s">
        <v>1306</v>
      </c>
      <c r="AA51" s="130" t="s">
        <v>1307</v>
      </c>
      <c r="AB51" s="130" t="s">
        <v>1308</v>
      </c>
      <c r="AC51" s="130"/>
      <c r="AD51" s="130" t="s">
        <v>1309</v>
      </c>
      <c r="AE51" s="130"/>
      <c r="AF51" s="130"/>
      <c r="AG51" s="130" t="s">
        <v>1310</v>
      </c>
    </row>
    <row r="52" spans="1:33" ht="22.5">
      <c r="A52" s="112" t="s">
        <v>716</v>
      </c>
      <c r="B52" s="112" t="s">
        <v>715</v>
      </c>
      <c r="C52" s="118"/>
      <c r="D52" s="130" t="s">
        <v>1311</v>
      </c>
      <c r="E52" s="130" t="s">
        <v>1312</v>
      </c>
      <c r="F52" s="130" t="s">
        <v>1313</v>
      </c>
      <c r="G52" s="130" t="s">
        <v>1314</v>
      </c>
      <c r="H52" s="130" t="s">
        <v>1315</v>
      </c>
      <c r="I52" s="130" t="s">
        <v>1316</v>
      </c>
      <c r="J52" s="130" t="s">
        <v>1317</v>
      </c>
      <c r="K52" s="130" t="s">
        <v>1318</v>
      </c>
      <c r="L52" s="130" t="s">
        <v>1319</v>
      </c>
      <c r="M52" s="130"/>
      <c r="N52" s="130"/>
      <c r="O52" s="130" t="s">
        <v>1320</v>
      </c>
      <c r="P52" s="130" t="s">
        <v>1321</v>
      </c>
      <c r="Q52" s="130"/>
      <c r="R52" s="130" t="s">
        <v>1322</v>
      </c>
      <c r="S52" s="130" t="s">
        <v>1323</v>
      </c>
      <c r="T52" s="130" t="s">
        <v>1324</v>
      </c>
      <c r="U52" s="130" t="s">
        <v>1325</v>
      </c>
      <c r="V52" s="130" t="s">
        <v>1326</v>
      </c>
      <c r="W52" s="130" t="s">
        <v>1327</v>
      </c>
      <c r="X52" s="130"/>
      <c r="Y52" s="130"/>
      <c r="Z52" s="130" t="s">
        <v>1328</v>
      </c>
      <c r="AA52" s="130" t="s">
        <v>1329</v>
      </c>
      <c r="AB52" s="130" t="s">
        <v>1330</v>
      </c>
      <c r="AC52" s="130"/>
      <c r="AD52" s="130" t="s">
        <v>1331</v>
      </c>
      <c r="AE52" s="130"/>
      <c r="AF52" s="130" t="s">
        <v>1332</v>
      </c>
      <c r="AG52" s="130" t="s">
        <v>1333</v>
      </c>
    </row>
    <row r="53" spans="1:33" ht="22.5">
      <c r="A53" s="112" t="s">
        <v>719</v>
      </c>
      <c r="B53" s="112" t="s">
        <v>718</v>
      </c>
      <c r="C53" s="118"/>
      <c r="D53" s="130" t="s">
        <v>1334</v>
      </c>
      <c r="E53" s="130" t="s">
        <v>1335</v>
      </c>
      <c r="F53" s="130" t="s">
        <v>1336</v>
      </c>
      <c r="G53" s="130"/>
      <c r="H53" s="130" t="s">
        <v>1337</v>
      </c>
      <c r="I53" s="130" t="s">
        <v>1338</v>
      </c>
      <c r="J53" s="130"/>
      <c r="K53" s="130" t="s">
        <v>1339</v>
      </c>
      <c r="L53" s="130" t="s">
        <v>1340</v>
      </c>
      <c r="M53" s="130" t="s">
        <v>1341</v>
      </c>
      <c r="N53" s="130"/>
      <c r="O53" s="130" t="s">
        <v>1342</v>
      </c>
      <c r="P53" s="130" t="s">
        <v>1343</v>
      </c>
      <c r="Q53" s="130"/>
      <c r="R53" s="130" t="s">
        <v>1344</v>
      </c>
      <c r="S53" s="130" t="s">
        <v>1345</v>
      </c>
      <c r="T53" s="130" t="s">
        <v>1346</v>
      </c>
      <c r="U53" s="130" t="s">
        <v>1347</v>
      </c>
      <c r="V53" s="130" t="s">
        <v>1348</v>
      </c>
      <c r="W53" s="130" t="s">
        <v>1349</v>
      </c>
      <c r="X53" s="130"/>
      <c r="Y53" s="130" t="s">
        <v>1350</v>
      </c>
      <c r="Z53" s="130" t="s">
        <v>1351</v>
      </c>
      <c r="AA53" s="130" t="s">
        <v>1352</v>
      </c>
      <c r="AB53" s="130" t="s">
        <v>1353</v>
      </c>
      <c r="AC53" s="130"/>
      <c r="AD53" s="130" t="s">
        <v>1354</v>
      </c>
      <c r="AE53" s="130"/>
      <c r="AF53" s="130" t="s">
        <v>1355</v>
      </c>
      <c r="AG53" s="130" t="s">
        <v>1356</v>
      </c>
    </row>
    <row r="54" spans="1:33" ht="45">
      <c r="A54" s="112" t="s">
        <v>721</v>
      </c>
      <c r="B54" s="112" t="s">
        <v>720</v>
      </c>
      <c r="C54" s="118" t="s">
        <v>1357</v>
      </c>
      <c r="D54" s="130" t="s">
        <v>1358</v>
      </c>
      <c r="E54" s="130" t="s">
        <v>1359</v>
      </c>
      <c r="F54" s="130" t="s">
        <v>1360</v>
      </c>
      <c r="G54" s="130" t="s">
        <v>1361</v>
      </c>
      <c r="H54" s="130" t="s">
        <v>1362</v>
      </c>
      <c r="I54" s="130" t="s">
        <v>1363</v>
      </c>
      <c r="J54" s="130" t="s">
        <v>1364</v>
      </c>
      <c r="K54" s="130" t="s">
        <v>1365</v>
      </c>
      <c r="L54" s="130" t="s">
        <v>1366</v>
      </c>
      <c r="M54" s="130" t="s">
        <v>1367</v>
      </c>
      <c r="N54" s="130"/>
      <c r="O54" s="130" t="s">
        <v>1368</v>
      </c>
      <c r="P54" s="130" t="s">
        <v>1369</v>
      </c>
      <c r="Q54" s="130" t="s">
        <v>1370</v>
      </c>
      <c r="R54" s="130" t="s">
        <v>1371</v>
      </c>
      <c r="S54" s="130" t="s">
        <v>1372</v>
      </c>
      <c r="T54" s="130" t="s">
        <v>1373</v>
      </c>
      <c r="U54" s="130" t="s">
        <v>733</v>
      </c>
      <c r="V54" s="130" t="s">
        <v>1374</v>
      </c>
      <c r="W54" s="130" t="s">
        <v>1375</v>
      </c>
      <c r="X54" s="130" t="s">
        <v>1376</v>
      </c>
      <c r="Y54" s="130" t="s">
        <v>1377</v>
      </c>
      <c r="Z54" s="130" t="s">
        <v>81</v>
      </c>
      <c r="AA54" s="130" t="s">
        <v>1378</v>
      </c>
      <c r="AB54" s="130" t="s">
        <v>1379</v>
      </c>
      <c r="AC54" s="130"/>
      <c r="AD54" s="130" t="s">
        <v>1380</v>
      </c>
      <c r="AE54" s="130" t="s">
        <v>1381</v>
      </c>
      <c r="AF54" s="130" t="s">
        <v>1382</v>
      </c>
      <c r="AG54" s="130" t="s">
        <v>1383</v>
      </c>
    </row>
    <row r="55" spans="1:33" ht="22.5">
      <c r="A55" s="112" t="s">
        <v>723</v>
      </c>
      <c r="B55" s="112" t="s">
        <v>722</v>
      </c>
      <c r="C55" s="118" t="s">
        <v>1384</v>
      </c>
      <c r="D55" s="130" t="s">
        <v>1385</v>
      </c>
      <c r="E55" s="130" t="s">
        <v>1386</v>
      </c>
      <c r="F55" s="130" t="s">
        <v>1387</v>
      </c>
      <c r="G55" s="130" t="s">
        <v>353</v>
      </c>
      <c r="H55" s="130" t="s">
        <v>1388</v>
      </c>
      <c r="I55" s="130" t="s">
        <v>1389</v>
      </c>
      <c r="J55" s="130" t="s">
        <v>1390</v>
      </c>
      <c r="K55" s="130" t="s">
        <v>1391</v>
      </c>
      <c r="L55" s="130" t="s">
        <v>1392</v>
      </c>
      <c r="M55" s="130" t="s">
        <v>1393</v>
      </c>
      <c r="N55" s="130"/>
      <c r="O55" s="130" t="s">
        <v>1394</v>
      </c>
      <c r="P55" s="130" t="s">
        <v>1395</v>
      </c>
      <c r="Q55" s="130" t="s">
        <v>733</v>
      </c>
      <c r="R55" s="130" t="s">
        <v>1396</v>
      </c>
      <c r="S55" s="130" t="s">
        <v>1397</v>
      </c>
      <c r="T55" s="130" t="s">
        <v>1398</v>
      </c>
      <c r="U55" s="130" t="s">
        <v>1399</v>
      </c>
      <c r="V55" s="130" t="s">
        <v>1400</v>
      </c>
      <c r="W55" s="130" t="s">
        <v>1401</v>
      </c>
      <c r="X55" s="130"/>
      <c r="Y55" s="130" t="s">
        <v>1402</v>
      </c>
      <c r="Z55" s="130" t="s">
        <v>1403</v>
      </c>
      <c r="AA55" s="130" t="s">
        <v>1404</v>
      </c>
      <c r="AB55" s="130" t="s">
        <v>1405</v>
      </c>
      <c r="AC55" s="130"/>
      <c r="AD55" s="130" t="s">
        <v>1406</v>
      </c>
      <c r="AE55" s="130"/>
      <c r="AF55" s="130" t="s">
        <v>1407</v>
      </c>
      <c r="AG55" s="130" t="s">
        <v>1408</v>
      </c>
    </row>
    <row r="56" spans="1:33" ht="56.25">
      <c r="A56" s="112" t="s">
        <v>1409</v>
      </c>
      <c r="B56" s="112" t="s">
        <v>1410</v>
      </c>
      <c r="C56" s="118"/>
      <c r="D56" s="130"/>
      <c r="E56" s="130"/>
      <c r="F56" s="130"/>
      <c r="G56" s="130"/>
      <c r="H56" s="130"/>
      <c r="I56" s="130"/>
      <c r="J56" s="130"/>
      <c r="K56" s="130"/>
      <c r="L56" s="130"/>
      <c r="M56" s="130" t="s">
        <v>554</v>
      </c>
      <c r="N56" s="130"/>
      <c r="O56" s="130" t="s">
        <v>857</v>
      </c>
      <c r="P56" s="130" t="s">
        <v>1411</v>
      </c>
      <c r="Q56" s="130"/>
      <c r="R56" s="130" t="s">
        <v>1412</v>
      </c>
      <c r="S56" s="130" t="s">
        <v>1413</v>
      </c>
      <c r="T56" s="130"/>
      <c r="U56" s="130" t="s">
        <v>1414</v>
      </c>
      <c r="V56" s="130" t="s">
        <v>1415</v>
      </c>
      <c r="W56" s="130" t="s">
        <v>1416</v>
      </c>
      <c r="X56" s="130"/>
      <c r="Y56" s="130" t="s">
        <v>1417</v>
      </c>
      <c r="Z56" s="130" t="s">
        <v>1418</v>
      </c>
      <c r="AA56" s="130" t="s">
        <v>1419</v>
      </c>
      <c r="AB56" s="130" t="s">
        <v>1420</v>
      </c>
      <c r="AC56" s="130"/>
      <c r="AD56" s="130" t="s">
        <v>1421</v>
      </c>
      <c r="AE56" s="130"/>
      <c r="AF56" s="130" t="s">
        <v>1422</v>
      </c>
      <c r="AG56" s="130" t="s">
        <v>1423</v>
      </c>
    </row>
    <row r="57" spans="1:33">
      <c r="A57" s="112" t="s">
        <v>1443</v>
      </c>
      <c r="B57" s="112" t="s">
        <v>1444</v>
      </c>
      <c r="C57" s="118"/>
      <c r="D57" s="130"/>
      <c r="E57" s="130"/>
      <c r="F57" s="130"/>
      <c r="G57" s="130"/>
      <c r="H57" s="130"/>
      <c r="I57" s="130"/>
      <c r="J57" s="130"/>
      <c r="K57" s="130"/>
      <c r="L57" s="130"/>
      <c r="M57" s="130"/>
      <c r="N57" s="130"/>
      <c r="O57" s="130"/>
      <c r="P57" s="130"/>
      <c r="Q57" s="130"/>
      <c r="R57" s="130"/>
      <c r="S57" s="130"/>
      <c r="T57" s="130"/>
      <c r="U57" s="130"/>
      <c r="V57" s="130"/>
      <c r="W57" s="130" t="s">
        <v>790</v>
      </c>
      <c r="X57" s="130"/>
      <c r="Y57" s="130"/>
      <c r="Z57" s="130"/>
      <c r="AA57" s="130"/>
      <c r="AB57" s="130"/>
      <c r="AC57" s="130"/>
      <c r="AD57" s="130"/>
      <c r="AE57" s="130"/>
      <c r="AF57" s="130"/>
      <c r="AG57" s="130"/>
    </row>
  </sheetData>
  <mergeCells count="2">
    <mergeCell ref="AA5:AG5"/>
    <mergeCell ref="C3:AG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0A187-FFD8-4811-811E-448AD66CFC73}">
  <sheetPr codeName="Sheet4">
    <tabColor rgb="FF00B050"/>
  </sheetPr>
  <dimension ref="A1:BK115"/>
  <sheetViews>
    <sheetView tabSelected="1" zoomScale="85" zoomScaleNormal="85" workbookViewId="0">
      <pane xSplit="15" ySplit="12" topLeftCell="P89" activePane="bottomRight" state="frozen"/>
      <selection pane="topRight" activeCell="P1" sqref="P1"/>
      <selection pane="bottomLeft" activeCell="A13" sqref="A13"/>
      <selection pane="bottomRight" activeCell="B97" sqref="B97:B100"/>
    </sheetView>
  </sheetViews>
  <sheetFormatPr defaultColWidth="8.85546875" defaultRowHeight="12.75"/>
  <cols>
    <col min="1" max="1" width="2.7109375" style="26" customWidth="1"/>
    <col min="2" max="2" width="3.85546875" style="26" customWidth="1"/>
    <col min="3" max="3" width="5.7109375" style="26" hidden="1" customWidth="1"/>
    <col min="4" max="4" width="1.7109375" style="26" customWidth="1"/>
    <col min="5" max="5" width="6.28515625" style="26" customWidth="1"/>
    <col min="6" max="7" width="1.7109375" style="26" customWidth="1"/>
    <col min="8" max="8" width="4.85546875" style="26" customWidth="1"/>
    <col min="9" max="9" width="1" style="26" customWidth="1"/>
    <col min="10" max="10" width="1.85546875" style="26" customWidth="1"/>
    <col min="11" max="11" width="1.7109375" style="26" customWidth="1"/>
    <col min="12" max="12" width="5.7109375" style="26" customWidth="1"/>
    <col min="13" max="13" width="1.7109375" style="26" customWidth="1"/>
    <col min="14" max="14" width="8.7109375" style="28" customWidth="1"/>
    <col min="15" max="15" width="7.28515625" style="28" bestFit="1" customWidth="1"/>
    <col min="16" max="16" width="1.7109375" style="26" customWidth="1"/>
    <col min="17" max="47" width="5.7109375" style="26" customWidth="1"/>
    <col min="48" max="48" width="1.140625" style="26" customWidth="1"/>
    <col min="49" max="56" width="3.7109375" style="26" customWidth="1"/>
    <col min="57" max="57" width="9" style="26" customWidth="1"/>
    <col min="58" max="16384" width="8.85546875" style="26"/>
  </cols>
  <sheetData>
    <row r="1" spans="1:57">
      <c r="AW1" s="26" t="s">
        <v>1615</v>
      </c>
    </row>
    <row r="6" spans="1:57" ht="15">
      <c r="B6" s="198" t="s">
        <v>56</v>
      </c>
      <c r="C6" s="198"/>
      <c r="D6" s="198"/>
      <c r="E6" s="198"/>
      <c r="F6" s="198"/>
      <c r="G6" s="198"/>
      <c r="H6" s="198"/>
      <c r="I6" s="198"/>
      <c r="J6" s="198"/>
      <c r="K6" s="198"/>
      <c r="L6" s="198"/>
      <c r="M6" s="198"/>
      <c r="N6" s="198"/>
      <c r="O6" s="198"/>
      <c r="P6" s="198"/>
      <c r="Q6" s="198"/>
      <c r="R6" s="198"/>
      <c r="S6" s="198"/>
      <c r="T6" s="198"/>
      <c r="U6" s="198"/>
      <c r="V6" s="198"/>
      <c r="W6" s="198"/>
      <c r="X6" s="198"/>
      <c r="Y6" s="198"/>
      <c r="Z6" s="198"/>
      <c r="AA6" s="198"/>
      <c r="AB6" s="198"/>
      <c r="AC6" s="198"/>
      <c r="AD6" s="198"/>
      <c r="AE6" s="198"/>
      <c r="AF6" s="198"/>
      <c r="AG6" s="198"/>
      <c r="AH6" s="198"/>
      <c r="AI6" s="198"/>
      <c r="AJ6" s="198"/>
      <c r="AK6" s="198"/>
      <c r="AL6" s="198"/>
      <c r="AM6" s="198"/>
      <c r="AN6" s="198"/>
      <c r="AO6" s="198"/>
      <c r="AP6" s="198"/>
      <c r="AQ6" s="198"/>
      <c r="AR6" s="198"/>
      <c r="AS6" s="198"/>
      <c r="AT6" s="198"/>
      <c r="AU6" s="198"/>
      <c r="AV6" s="198"/>
      <c r="AW6" s="198"/>
      <c r="AX6" s="198"/>
      <c r="AY6" s="198"/>
      <c r="AZ6" s="198"/>
      <c r="BA6" s="198"/>
      <c r="BB6" s="198"/>
      <c r="BC6" s="198"/>
      <c r="BD6" s="198"/>
      <c r="BE6" s="198"/>
    </row>
    <row r="7" spans="1:57">
      <c r="B7" s="199" t="s">
        <v>880</v>
      </c>
      <c r="C7" s="199"/>
      <c r="D7" s="199"/>
      <c r="E7" s="199"/>
      <c r="F7" s="199"/>
      <c r="G7" s="199"/>
      <c r="H7" s="199"/>
      <c r="I7" s="199"/>
      <c r="J7" s="199"/>
      <c r="K7" s="199"/>
      <c r="L7" s="199"/>
      <c r="M7" s="199"/>
      <c r="N7" s="199"/>
      <c r="O7" s="199"/>
      <c r="P7" s="199"/>
      <c r="Q7" s="199"/>
      <c r="R7" s="199"/>
      <c r="S7" s="199"/>
      <c r="T7" s="199"/>
      <c r="U7" s="199"/>
      <c r="V7" s="199"/>
      <c r="W7" s="199"/>
      <c r="X7" s="199"/>
      <c r="Y7" s="199"/>
      <c r="Z7" s="199"/>
      <c r="AA7" s="199"/>
      <c r="AB7" s="199"/>
      <c r="AC7" s="199"/>
      <c r="AD7" s="199"/>
      <c r="AE7" s="199"/>
      <c r="AF7" s="199"/>
      <c r="AG7" s="199"/>
      <c r="AH7" s="199"/>
      <c r="AI7" s="199"/>
      <c r="AJ7" s="199"/>
      <c r="AK7" s="199"/>
      <c r="AL7" s="199"/>
      <c r="AM7" s="199"/>
      <c r="AN7" s="199"/>
      <c r="AO7" s="199"/>
      <c r="AP7" s="199"/>
      <c r="AQ7" s="199"/>
      <c r="AR7" s="199"/>
      <c r="AS7" s="199"/>
      <c r="AT7" s="199"/>
      <c r="AU7" s="199"/>
      <c r="AV7" s="199"/>
      <c r="AW7" s="199"/>
      <c r="AX7" s="199"/>
      <c r="AY7" s="199"/>
      <c r="AZ7" s="199"/>
      <c r="BA7" s="199"/>
      <c r="BB7" s="199"/>
      <c r="BC7" s="199"/>
      <c r="BD7" s="199"/>
      <c r="BE7" s="199"/>
    </row>
    <row r="8" spans="1:57" ht="9" customHeight="1">
      <c r="B8" s="27"/>
      <c r="C8" s="27"/>
      <c r="AG8" s="29"/>
      <c r="AH8" s="29"/>
      <c r="AI8" s="29"/>
    </row>
    <row r="9" spans="1:57">
      <c r="B9" s="27"/>
      <c r="C9" s="27"/>
      <c r="Q9" s="215" t="s">
        <v>881</v>
      </c>
      <c r="R9" s="216"/>
      <c r="S9" s="216"/>
      <c r="T9" s="216"/>
      <c r="U9" s="216"/>
      <c r="V9" s="216"/>
      <c r="W9" s="216"/>
      <c r="X9" s="216"/>
      <c r="Y9" s="216"/>
      <c r="Z9" s="217"/>
      <c r="AA9" s="218"/>
      <c r="AB9" s="224" t="s">
        <v>882</v>
      </c>
      <c r="AC9" s="224"/>
      <c r="AD9" s="224"/>
      <c r="AE9" s="224"/>
      <c r="AF9" s="224"/>
      <c r="AG9" s="224"/>
      <c r="AH9" s="224"/>
      <c r="AI9" s="224"/>
      <c r="AJ9" s="224"/>
      <c r="AK9" s="224"/>
      <c r="AL9" s="224"/>
      <c r="AM9" s="224"/>
      <c r="AN9" s="224"/>
      <c r="AO9" s="224"/>
      <c r="AP9" s="224"/>
      <c r="AQ9" s="224"/>
      <c r="AR9" s="224"/>
      <c r="AS9" s="224"/>
      <c r="AT9" s="224"/>
      <c r="AU9" s="224"/>
      <c r="AW9" s="221" t="s">
        <v>25</v>
      </c>
      <c r="AX9" s="222"/>
      <c r="AY9" s="222"/>
      <c r="AZ9" s="222"/>
      <c r="BA9" s="222"/>
      <c r="BB9" s="222"/>
      <c r="BC9" s="222"/>
      <c r="BD9" s="222"/>
      <c r="BE9" s="223"/>
    </row>
    <row r="10" spans="1:57" ht="17.25" customHeight="1" thickBot="1">
      <c r="B10" s="200" t="s">
        <v>18</v>
      </c>
      <c r="C10" s="30"/>
      <c r="D10" s="202" t="s">
        <v>17</v>
      </c>
      <c r="E10" s="203"/>
      <c r="F10" s="203"/>
      <c r="G10" s="203"/>
      <c r="H10" s="203"/>
      <c r="I10" s="203"/>
      <c r="J10" s="203"/>
      <c r="K10" s="204"/>
      <c r="L10" s="202" t="s">
        <v>16</v>
      </c>
      <c r="M10" s="203"/>
      <c r="N10" s="204"/>
      <c r="O10" s="208" t="s">
        <v>667</v>
      </c>
      <c r="P10" s="31"/>
      <c r="Q10" s="32">
        <v>21</v>
      </c>
      <c r="R10" s="32">
        <v>22</v>
      </c>
      <c r="S10" s="32">
        <v>23</v>
      </c>
      <c r="T10" s="32">
        <v>24</v>
      </c>
      <c r="U10" s="32">
        <v>25</v>
      </c>
      <c r="V10" s="32">
        <v>26</v>
      </c>
      <c r="W10" s="32">
        <v>27</v>
      </c>
      <c r="X10" s="32">
        <v>28</v>
      </c>
      <c r="Y10" s="32">
        <v>29</v>
      </c>
      <c r="Z10" s="32">
        <v>30</v>
      </c>
      <c r="AA10" s="32">
        <v>31</v>
      </c>
      <c r="AB10" s="123">
        <v>1</v>
      </c>
      <c r="AC10" s="123">
        <v>2</v>
      </c>
      <c r="AD10" s="123">
        <v>3</v>
      </c>
      <c r="AE10" s="123">
        <v>4</v>
      </c>
      <c r="AF10" s="123">
        <v>5</v>
      </c>
      <c r="AG10" s="123">
        <v>6</v>
      </c>
      <c r="AH10" s="123">
        <v>7</v>
      </c>
      <c r="AI10" s="123">
        <v>8</v>
      </c>
      <c r="AJ10" s="123">
        <v>9</v>
      </c>
      <c r="AK10" s="123">
        <v>10</v>
      </c>
      <c r="AL10" s="123">
        <v>11</v>
      </c>
      <c r="AM10" s="123">
        <v>12</v>
      </c>
      <c r="AN10" s="123">
        <v>13</v>
      </c>
      <c r="AO10" s="123">
        <v>14</v>
      </c>
      <c r="AP10" s="123">
        <v>15</v>
      </c>
      <c r="AQ10" s="123">
        <v>16</v>
      </c>
      <c r="AR10" s="123">
        <v>17</v>
      </c>
      <c r="AS10" s="123">
        <v>18</v>
      </c>
      <c r="AT10" s="123">
        <v>19</v>
      </c>
      <c r="AU10" s="123">
        <v>20</v>
      </c>
      <c r="AW10" s="210" t="s">
        <v>28</v>
      </c>
      <c r="AX10" s="210" t="s">
        <v>29</v>
      </c>
      <c r="AY10" s="210" t="s">
        <v>26</v>
      </c>
      <c r="AZ10" s="210" t="s">
        <v>30</v>
      </c>
      <c r="BA10" s="210" t="s">
        <v>31</v>
      </c>
      <c r="BB10" s="210" t="s">
        <v>23</v>
      </c>
      <c r="BC10" s="210" t="s">
        <v>27</v>
      </c>
      <c r="BD10" s="210" t="s">
        <v>32</v>
      </c>
      <c r="BE10" s="219" t="s">
        <v>666</v>
      </c>
    </row>
    <row r="11" spans="1:57" ht="36.75" customHeight="1" thickBot="1">
      <c r="B11" s="201"/>
      <c r="C11" s="30"/>
      <c r="D11" s="205"/>
      <c r="E11" s="206"/>
      <c r="F11" s="206"/>
      <c r="G11" s="206"/>
      <c r="H11" s="206"/>
      <c r="I11" s="206"/>
      <c r="J11" s="206"/>
      <c r="K11" s="207"/>
      <c r="L11" s="205"/>
      <c r="M11" s="206"/>
      <c r="N11" s="207"/>
      <c r="O11" s="209"/>
      <c r="P11" s="31"/>
      <c r="Q11" s="73" t="s">
        <v>45</v>
      </c>
      <c r="R11" s="75" t="s">
        <v>46</v>
      </c>
      <c r="S11" s="75" t="s">
        <v>47</v>
      </c>
      <c r="T11" s="75" t="s">
        <v>48</v>
      </c>
      <c r="U11" s="75" t="s">
        <v>49</v>
      </c>
      <c r="V11" s="75" t="s">
        <v>435</v>
      </c>
      <c r="W11" s="74" t="s">
        <v>44</v>
      </c>
      <c r="X11" s="73" t="s">
        <v>45</v>
      </c>
      <c r="Y11" s="75" t="s">
        <v>46</v>
      </c>
      <c r="Z11" s="75" t="s">
        <v>47</v>
      </c>
      <c r="AA11" s="75" t="s">
        <v>48</v>
      </c>
      <c r="AB11" s="75" t="s">
        <v>49</v>
      </c>
      <c r="AC11" s="75" t="s">
        <v>435</v>
      </c>
      <c r="AD11" s="74" t="s">
        <v>44</v>
      </c>
      <c r="AE11" s="73" t="s">
        <v>45</v>
      </c>
      <c r="AF11" s="75" t="s">
        <v>46</v>
      </c>
      <c r="AG11" s="75" t="s">
        <v>47</v>
      </c>
      <c r="AH11" s="75" t="s">
        <v>48</v>
      </c>
      <c r="AI11" s="75" t="s">
        <v>49</v>
      </c>
      <c r="AJ11" s="75" t="s">
        <v>435</v>
      </c>
      <c r="AK11" s="74" t="s">
        <v>44</v>
      </c>
      <c r="AL11" s="73" t="s">
        <v>45</v>
      </c>
      <c r="AM11" s="75" t="s">
        <v>46</v>
      </c>
      <c r="AN11" s="75" t="s">
        <v>47</v>
      </c>
      <c r="AO11" s="75" t="s">
        <v>48</v>
      </c>
      <c r="AP11" s="75" t="s">
        <v>49</v>
      </c>
      <c r="AQ11" s="75" t="s">
        <v>435</v>
      </c>
      <c r="AR11" s="74" t="s">
        <v>44</v>
      </c>
      <c r="AS11" s="73" t="s">
        <v>45</v>
      </c>
      <c r="AT11" s="75" t="s">
        <v>46</v>
      </c>
      <c r="AU11" s="75" t="s">
        <v>47</v>
      </c>
      <c r="AV11" s="75"/>
      <c r="AW11" s="211"/>
      <c r="AX11" s="211"/>
      <c r="AY11" s="211"/>
      <c r="AZ11" s="211"/>
      <c r="BA11" s="211"/>
      <c r="BB11" s="211"/>
      <c r="BC11" s="211"/>
      <c r="BD11" s="211"/>
      <c r="BE11" s="220"/>
    </row>
    <row r="12" spans="1:57" ht="9" customHeight="1" thickBot="1">
      <c r="B12" s="33"/>
      <c r="C12" s="34"/>
      <c r="D12" s="34"/>
      <c r="E12" s="35"/>
      <c r="F12" s="35"/>
      <c r="G12" s="35"/>
      <c r="H12" s="35"/>
      <c r="I12" s="35"/>
      <c r="J12" s="35"/>
      <c r="K12" s="35"/>
      <c r="L12" s="34"/>
      <c r="M12" s="35"/>
      <c r="N12" s="36"/>
      <c r="O12" s="1"/>
      <c r="P12" s="31"/>
      <c r="Q12" s="78"/>
      <c r="R12" s="1"/>
      <c r="S12" s="1"/>
      <c r="T12" s="116"/>
      <c r="U12" s="135"/>
      <c r="V12" s="136"/>
      <c r="W12" s="37"/>
      <c r="X12" s="78"/>
      <c r="Y12" s="1"/>
      <c r="Z12" s="1"/>
      <c r="AA12" s="116"/>
      <c r="AB12" s="135"/>
      <c r="AC12" s="136"/>
      <c r="AD12" s="37"/>
      <c r="AE12" s="78"/>
      <c r="AF12" s="1"/>
      <c r="AG12" s="1"/>
      <c r="AH12" s="116"/>
      <c r="AI12" s="135"/>
      <c r="AJ12" s="136"/>
      <c r="AK12" s="37"/>
      <c r="AL12" s="78"/>
      <c r="AM12" s="1"/>
      <c r="AN12" s="1"/>
      <c r="AO12" s="116"/>
      <c r="AP12" s="135"/>
      <c r="AQ12" s="136"/>
      <c r="AR12" s="37"/>
      <c r="AS12" s="78"/>
      <c r="AT12" s="1"/>
      <c r="AU12" s="116"/>
      <c r="AV12" s="1"/>
      <c r="AW12" s="38"/>
      <c r="AX12" s="38"/>
      <c r="AY12" s="38"/>
      <c r="AZ12" s="38"/>
      <c r="BA12" s="38"/>
      <c r="BB12" s="38"/>
      <c r="BC12" s="38"/>
      <c r="BD12" s="38"/>
      <c r="BE12" s="38"/>
    </row>
    <row r="13" spans="1:57" ht="15.95" customHeight="1">
      <c r="B13" s="193">
        <v>1</v>
      </c>
      <c r="C13" s="68">
        <v>2</v>
      </c>
      <c r="D13" s="177" t="s">
        <v>40</v>
      </c>
      <c r="E13" s="178"/>
      <c r="F13" s="178"/>
      <c r="G13" s="178"/>
      <c r="H13" s="178"/>
      <c r="I13" s="178"/>
      <c r="J13" s="178"/>
      <c r="K13" s="179"/>
      <c r="L13" s="177" t="s">
        <v>724</v>
      </c>
      <c r="M13" s="178"/>
      <c r="N13" s="179"/>
      <c r="O13" s="64" t="s">
        <v>668</v>
      </c>
      <c r="P13" s="43"/>
      <c r="Q13" s="77"/>
      <c r="R13" s="81" t="s">
        <v>683</v>
      </c>
      <c r="S13" s="81" t="s">
        <v>737</v>
      </c>
      <c r="T13" s="115" t="s">
        <v>663</v>
      </c>
      <c r="U13" s="140" t="s">
        <v>1468</v>
      </c>
      <c r="V13" s="115" t="s">
        <v>1469</v>
      </c>
      <c r="W13" s="79" t="s">
        <v>749</v>
      </c>
      <c r="X13" s="77" t="s">
        <v>734</v>
      </c>
      <c r="Y13" s="81" t="s">
        <v>738</v>
      </c>
      <c r="Z13" s="81" t="s">
        <v>751</v>
      </c>
      <c r="AA13" s="115" t="s">
        <v>681</v>
      </c>
      <c r="AB13" s="140"/>
      <c r="AC13" s="115" t="s">
        <v>755</v>
      </c>
      <c r="AD13" s="79" t="s">
        <v>221</v>
      </c>
      <c r="AE13" s="77" t="s">
        <v>734</v>
      </c>
      <c r="AF13" s="81" t="s">
        <v>868</v>
      </c>
      <c r="AG13" s="81" t="s">
        <v>771</v>
      </c>
      <c r="AH13" s="115" t="s">
        <v>769</v>
      </c>
      <c r="AI13" s="140" t="s">
        <v>768</v>
      </c>
      <c r="AJ13" s="115" t="s">
        <v>749</v>
      </c>
      <c r="AK13" s="79" t="s">
        <v>683</v>
      </c>
      <c r="AL13" s="77" t="s">
        <v>734</v>
      </c>
      <c r="AM13" s="81" t="s">
        <v>755</v>
      </c>
      <c r="AN13" s="81" t="s">
        <v>689</v>
      </c>
      <c r="AO13" s="115" t="s">
        <v>791</v>
      </c>
      <c r="AP13" s="140" t="s">
        <v>689</v>
      </c>
      <c r="AQ13" s="140" t="s">
        <v>533</v>
      </c>
      <c r="AR13" s="79" t="s">
        <v>753</v>
      </c>
      <c r="AS13" s="77" t="s">
        <v>734</v>
      </c>
      <c r="AT13" s="81" t="s">
        <v>823</v>
      </c>
      <c r="AU13" s="115" t="s">
        <v>689</v>
      </c>
      <c r="AV13" s="121"/>
      <c r="AW13" s="186">
        <f>COUNTIF(Q15:AT15,$AW$10)</f>
        <v>22</v>
      </c>
      <c r="AX13" s="186">
        <f>COUNTIF(Q15:AT15,$AX$10)</f>
        <v>2</v>
      </c>
      <c r="AY13" s="186">
        <f>COUNTIF(Q15:AT15,$AY$10)</f>
        <v>6</v>
      </c>
      <c r="AZ13" s="186">
        <f>COUNTIF(Q15:AT15,$AZ$10)</f>
        <v>0</v>
      </c>
      <c r="BA13" s="186">
        <f>COUNTIF(Q15:AT15,$BA$10)</f>
        <v>0</v>
      </c>
      <c r="BB13" s="186">
        <f>COUNTIF(Q15:AT15,$BB$10)</f>
        <v>0</v>
      </c>
      <c r="BC13" s="186">
        <f>COUNTIF(Q15:AT15,$BC$10)</f>
        <v>0</v>
      </c>
      <c r="BD13" s="186">
        <f>COUNTIF(Q15:AT15,$BD$10)</f>
        <v>0</v>
      </c>
      <c r="BE13" s="188">
        <f>SUM(Q16:AT16)</f>
        <v>0</v>
      </c>
    </row>
    <row r="14" spans="1:57" ht="15.95" customHeight="1">
      <c r="A14" s="26" t="s">
        <v>1612</v>
      </c>
      <c r="B14" s="194"/>
      <c r="C14" s="69"/>
      <c r="D14" s="180"/>
      <c r="E14" s="181"/>
      <c r="F14" s="181"/>
      <c r="G14" s="181"/>
      <c r="H14" s="181"/>
      <c r="I14" s="181"/>
      <c r="J14" s="181"/>
      <c r="K14" s="182"/>
      <c r="L14" s="180"/>
      <c r="M14" s="181"/>
      <c r="N14" s="182"/>
      <c r="O14" s="65" t="s">
        <v>669</v>
      </c>
      <c r="P14" s="41"/>
      <c r="Q14" s="76"/>
      <c r="R14" s="80" t="s">
        <v>688</v>
      </c>
      <c r="S14" s="80" t="s">
        <v>1470</v>
      </c>
      <c r="T14" s="114" t="s">
        <v>1471</v>
      </c>
      <c r="U14" s="141" t="s">
        <v>1472</v>
      </c>
      <c r="V14" s="114" t="s">
        <v>1473</v>
      </c>
      <c r="W14" s="72" t="s">
        <v>799</v>
      </c>
      <c r="X14" s="76" t="s">
        <v>734</v>
      </c>
      <c r="Y14" s="80"/>
      <c r="Z14" s="80" t="s">
        <v>1474</v>
      </c>
      <c r="AA14" s="114" t="s">
        <v>748</v>
      </c>
      <c r="AB14" s="141" t="s">
        <v>950</v>
      </c>
      <c r="AC14" s="114" t="s">
        <v>1475</v>
      </c>
      <c r="AD14" s="72" t="s">
        <v>1476</v>
      </c>
      <c r="AE14" s="76" t="s">
        <v>734</v>
      </c>
      <c r="AF14" s="80" t="s">
        <v>1477</v>
      </c>
      <c r="AG14" s="80" t="s">
        <v>1470</v>
      </c>
      <c r="AH14" s="114" t="s">
        <v>847</v>
      </c>
      <c r="AI14" s="141"/>
      <c r="AJ14" s="114" t="s">
        <v>749</v>
      </c>
      <c r="AK14" s="72" t="s">
        <v>830</v>
      </c>
      <c r="AL14" s="76" t="s">
        <v>734</v>
      </c>
      <c r="AM14" s="80" t="s">
        <v>1478</v>
      </c>
      <c r="AN14" s="80" t="s">
        <v>787</v>
      </c>
      <c r="AO14" s="114" t="s">
        <v>1479</v>
      </c>
      <c r="AP14" s="141" t="s">
        <v>1480</v>
      </c>
      <c r="AQ14" s="141"/>
      <c r="AR14" s="72" t="s">
        <v>795</v>
      </c>
      <c r="AS14" s="76" t="s">
        <v>734</v>
      </c>
      <c r="AT14" s="80" t="s">
        <v>1481</v>
      </c>
      <c r="AU14" s="114" t="s">
        <v>787</v>
      </c>
      <c r="AV14" s="120"/>
      <c r="AW14" s="187"/>
      <c r="AX14" s="187"/>
      <c r="AY14" s="187"/>
      <c r="AZ14" s="187"/>
      <c r="BA14" s="187"/>
      <c r="BB14" s="187"/>
      <c r="BC14" s="187"/>
      <c r="BD14" s="187"/>
      <c r="BE14" s="189"/>
    </row>
    <row r="15" spans="1:57" ht="15.95" customHeight="1">
      <c r="B15" s="194"/>
      <c r="C15" s="69"/>
      <c r="D15" s="180"/>
      <c r="E15" s="181"/>
      <c r="F15" s="181"/>
      <c r="G15" s="181"/>
      <c r="H15" s="181"/>
      <c r="I15" s="181"/>
      <c r="J15" s="181"/>
      <c r="K15" s="182"/>
      <c r="L15" s="180"/>
      <c r="M15" s="181"/>
      <c r="N15" s="182"/>
      <c r="O15" s="65" t="s">
        <v>670</v>
      </c>
      <c r="P15" s="44"/>
      <c r="Q15" s="25" t="s">
        <v>26</v>
      </c>
      <c r="R15" s="22" t="s">
        <v>28</v>
      </c>
      <c r="S15" s="22" t="s">
        <v>28</v>
      </c>
      <c r="T15" s="113" t="s">
        <v>28</v>
      </c>
      <c r="U15" s="113" t="s">
        <v>29</v>
      </c>
      <c r="V15" s="22" t="s">
        <v>29</v>
      </c>
      <c r="W15" s="24" t="s">
        <v>28</v>
      </c>
      <c r="X15" s="25" t="s">
        <v>26</v>
      </c>
      <c r="Y15" s="22" t="s">
        <v>28</v>
      </c>
      <c r="Z15" s="22" t="s">
        <v>28</v>
      </c>
      <c r="AA15" s="113" t="s">
        <v>28</v>
      </c>
      <c r="AB15" s="113" t="s">
        <v>26</v>
      </c>
      <c r="AC15" s="22" t="s">
        <v>28</v>
      </c>
      <c r="AD15" s="24" t="s">
        <v>28</v>
      </c>
      <c r="AE15" s="25" t="s">
        <v>26</v>
      </c>
      <c r="AF15" s="22" t="s">
        <v>28</v>
      </c>
      <c r="AG15" s="22" t="s">
        <v>28</v>
      </c>
      <c r="AH15" s="22" t="s">
        <v>28</v>
      </c>
      <c r="AI15" s="113" t="s">
        <v>28</v>
      </c>
      <c r="AJ15" s="22" t="s">
        <v>28</v>
      </c>
      <c r="AK15" s="24" t="s">
        <v>28</v>
      </c>
      <c r="AL15" s="25" t="s">
        <v>26</v>
      </c>
      <c r="AM15" s="22" t="s">
        <v>28</v>
      </c>
      <c r="AN15" s="22" t="s">
        <v>28</v>
      </c>
      <c r="AO15" s="22" t="s">
        <v>28</v>
      </c>
      <c r="AP15" s="113" t="s">
        <v>28</v>
      </c>
      <c r="AQ15" s="113" t="s">
        <v>28</v>
      </c>
      <c r="AR15" s="24" t="s">
        <v>28</v>
      </c>
      <c r="AS15" s="25" t="s">
        <v>26</v>
      </c>
      <c r="AT15" s="22" t="s">
        <v>28</v>
      </c>
      <c r="AU15" s="22" t="s">
        <v>28</v>
      </c>
      <c r="AV15" s="119"/>
      <c r="AW15" s="187"/>
      <c r="AX15" s="187"/>
      <c r="AY15" s="187"/>
      <c r="AZ15" s="187"/>
      <c r="BA15" s="187"/>
      <c r="BB15" s="187"/>
      <c r="BC15" s="187"/>
      <c r="BD15" s="187"/>
      <c r="BE15" s="189"/>
    </row>
    <row r="16" spans="1:57" ht="15.95" customHeight="1" thickBot="1">
      <c r="B16" s="195"/>
      <c r="C16" s="70"/>
      <c r="D16" s="183"/>
      <c r="E16" s="184"/>
      <c r="F16" s="184"/>
      <c r="G16" s="184"/>
      <c r="H16" s="184"/>
      <c r="I16" s="184"/>
      <c r="J16" s="184"/>
      <c r="K16" s="185"/>
      <c r="L16" s="183"/>
      <c r="M16" s="184"/>
      <c r="N16" s="185"/>
      <c r="O16" s="66" t="s">
        <v>671</v>
      </c>
      <c r="P16" s="45"/>
      <c r="Q16" s="84"/>
      <c r="R16" s="62"/>
      <c r="S16" s="62"/>
      <c r="T16" s="62"/>
      <c r="U16" s="139"/>
      <c r="V16" s="82"/>
      <c r="W16" s="63"/>
      <c r="X16" s="84"/>
      <c r="Y16" s="62"/>
      <c r="Z16" s="62"/>
      <c r="AA16" s="62"/>
      <c r="AB16" s="139"/>
      <c r="AC16" s="82"/>
      <c r="AD16" s="63"/>
      <c r="AE16" s="84"/>
      <c r="AF16" s="62"/>
      <c r="AG16" s="62"/>
      <c r="AH16" s="62"/>
      <c r="AI16" s="139"/>
      <c r="AJ16" s="82"/>
      <c r="AK16" s="63"/>
      <c r="AL16" s="84"/>
      <c r="AM16" s="62"/>
      <c r="AN16" s="62"/>
      <c r="AO16" s="62"/>
      <c r="AP16" s="139"/>
      <c r="AQ16" s="139"/>
      <c r="AR16" s="63"/>
      <c r="AS16" s="84"/>
      <c r="AT16" s="83"/>
      <c r="AU16" s="62"/>
      <c r="AV16" s="129"/>
      <c r="AW16" s="187"/>
      <c r="AX16" s="187"/>
      <c r="AY16" s="187"/>
      <c r="AZ16" s="187"/>
      <c r="BA16" s="187"/>
      <c r="BB16" s="187"/>
      <c r="BC16" s="187"/>
      <c r="BD16" s="187"/>
      <c r="BE16" s="189"/>
    </row>
    <row r="17" spans="2:63" ht="15.95" customHeight="1">
      <c r="B17" s="193">
        <f>B13+1</f>
        <v>2</v>
      </c>
      <c r="C17" s="68">
        <v>15</v>
      </c>
      <c r="D17" s="177" t="s">
        <v>10</v>
      </c>
      <c r="E17" s="178"/>
      <c r="F17" s="178"/>
      <c r="G17" s="178"/>
      <c r="H17" s="178"/>
      <c r="I17" s="178"/>
      <c r="J17" s="178"/>
      <c r="K17" s="179"/>
      <c r="L17" s="177" t="s">
        <v>54</v>
      </c>
      <c r="M17" s="178"/>
      <c r="N17" s="179"/>
      <c r="O17" s="64" t="s">
        <v>668</v>
      </c>
      <c r="P17" s="47"/>
      <c r="Q17" s="77"/>
      <c r="R17" s="81" t="s">
        <v>514</v>
      </c>
      <c r="S17" s="81" t="s">
        <v>479</v>
      </c>
      <c r="T17" s="115" t="s">
        <v>353</v>
      </c>
      <c r="U17" s="140" t="s">
        <v>734</v>
      </c>
      <c r="V17" s="115" t="s">
        <v>734</v>
      </c>
      <c r="W17" s="79" t="s">
        <v>488</v>
      </c>
      <c r="X17" s="77" t="s">
        <v>734</v>
      </c>
      <c r="Y17" s="81" t="s">
        <v>731</v>
      </c>
      <c r="Z17" s="81" t="s">
        <v>324</v>
      </c>
      <c r="AA17" s="115" t="s">
        <v>324</v>
      </c>
      <c r="AB17" s="140" t="s">
        <v>734</v>
      </c>
      <c r="AC17" s="115" t="s">
        <v>324</v>
      </c>
      <c r="AD17" s="79" t="s">
        <v>83</v>
      </c>
      <c r="AE17" s="77" t="s">
        <v>734</v>
      </c>
      <c r="AF17" s="81" t="s">
        <v>221</v>
      </c>
      <c r="AG17" s="81" t="s">
        <v>83</v>
      </c>
      <c r="AH17" s="115" t="s">
        <v>771</v>
      </c>
      <c r="AI17" s="140" t="s">
        <v>681</v>
      </c>
      <c r="AJ17" s="115" t="s">
        <v>203</v>
      </c>
      <c r="AK17" s="79" t="s">
        <v>84</v>
      </c>
      <c r="AL17" s="77" t="s">
        <v>734</v>
      </c>
      <c r="AM17" s="81" t="s">
        <v>141</v>
      </c>
      <c r="AN17" s="81" t="s">
        <v>83</v>
      </c>
      <c r="AO17" s="115" t="s">
        <v>479</v>
      </c>
      <c r="AP17" s="140" t="s">
        <v>738</v>
      </c>
      <c r="AQ17" s="140" t="s">
        <v>734</v>
      </c>
      <c r="AR17" s="79" t="s">
        <v>84</v>
      </c>
      <c r="AS17" s="77" t="s">
        <v>734</v>
      </c>
      <c r="AT17" s="81" t="s">
        <v>736</v>
      </c>
      <c r="AU17" s="115" t="s">
        <v>83</v>
      </c>
      <c r="AV17" s="121"/>
      <c r="AW17" s="186">
        <f>COUNTIF(Q19:AT19,$AW$10)</f>
        <v>21</v>
      </c>
      <c r="AX17" s="186">
        <f>COUNTIF(Q19:AT19,$AX$10)</f>
        <v>0</v>
      </c>
      <c r="AY17" s="186">
        <f>COUNTIF(Q19:AT19,$AY$10)</f>
        <v>6</v>
      </c>
      <c r="AZ17" s="186">
        <f>COUNTIF(Q19:AT19,$AZ$10)</f>
        <v>2</v>
      </c>
      <c r="BA17" s="186">
        <f>COUNTIF(Q19:AT19,$BA$10)</f>
        <v>0</v>
      </c>
      <c r="BB17" s="186">
        <f>COUNTIF(Q19:AT19,$BB$10)</f>
        <v>0</v>
      </c>
      <c r="BC17" s="186">
        <f>COUNTIF(Q19:AT19,$BC$10)</f>
        <v>0</v>
      </c>
      <c r="BD17" s="186">
        <f>COUNTIF(Q19:AT19,$BD$10)</f>
        <v>0</v>
      </c>
      <c r="BE17" s="188">
        <f>SUM(Q20:AT20)</f>
        <v>4</v>
      </c>
    </row>
    <row r="18" spans="2:63" ht="15.95" customHeight="1">
      <c r="B18" s="194"/>
      <c r="C18" s="69"/>
      <c r="D18" s="180"/>
      <c r="E18" s="181"/>
      <c r="F18" s="181"/>
      <c r="G18" s="181"/>
      <c r="H18" s="181"/>
      <c r="I18" s="181"/>
      <c r="J18" s="181"/>
      <c r="K18" s="182"/>
      <c r="L18" s="180"/>
      <c r="M18" s="181"/>
      <c r="N18" s="182"/>
      <c r="O18" s="65" t="s">
        <v>669</v>
      </c>
      <c r="P18" s="44"/>
      <c r="Q18" s="76"/>
      <c r="R18" s="80" t="s">
        <v>815</v>
      </c>
      <c r="S18" s="80" t="s">
        <v>816</v>
      </c>
      <c r="T18" s="114" t="s">
        <v>746</v>
      </c>
      <c r="U18" s="141" t="s">
        <v>734</v>
      </c>
      <c r="V18" s="114" t="s">
        <v>734</v>
      </c>
      <c r="W18" s="72" t="s">
        <v>808</v>
      </c>
      <c r="X18" s="76" t="s">
        <v>734</v>
      </c>
      <c r="Y18" s="80" t="s">
        <v>1482</v>
      </c>
      <c r="Z18" s="80" t="s">
        <v>774</v>
      </c>
      <c r="AA18" s="114" t="s">
        <v>817</v>
      </c>
      <c r="AB18" s="141" t="s">
        <v>734</v>
      </c>
      <c r="AC18" s="114" t="s">
        <v>800</v>
      </c>
      <c r="AD18" s="72" t="s">
        <v>1483</v>
      </c>
      <c r="AE18" s="76" t="s">
        <v>734</v>
      </c>
      <c r="AF18" s="80" t="s">
        <v>1484</v>
      </c>
      <c r="AG18" s="80" t="s">
        <v>821</v>
      </c>
      <c r="AH18" s="114" t="s">
        <v>1485</v>
      </c>
      <c r="AI18" s="141" t="s">
        <v>297</v>
      </c>
      <c r="AJ18" s="114" t="s">
        <v>742</v>
      </c>
      <c r="AK18" s="72" t="s">
        <v>1486</v>
      </c>
      <c r="AL18" s="76" t="s">
        <v>734</v>
      </c>
      <c r="AM18" s="80" t="s">
        <v>871</v>
      </c>
      <c r="AN18" s="80" t="s">
        <v>83</v>
      </c>
      <c r="AO18" s="114" t="s">
        <v>766</v>
      </c>
      <c r="AP18" s="141" t="s">
        <v>775</v>
      </c>
      <c r="AQ18" s="141" t="s">
        <v>734</v>
      </c>
      <c r="AR18" s="72" t="s">
        <v>1487</v>
      </c>
      <c r="AS18" s="76" t="s">
        <v>734</v>
      </c>
      <c r="AT18" s="80" t="s">
        <v>802</v>
      </c>
      <c r="AU18" s="114" t="s">
        <v>82</v>
      </c>
      <c r="AV18" s="120"/>
      <c r="AW18" s="187"/>
      <c r="AX18" s="187"/>
      <c r="AY18" s="187"/>
      <c r="AZ18" s="187"/>
      <c r="BA18" s="187"/>
      <c r="BB18" s="187"/>
      <c r="BC18" s="187"/>
      <c r="BD18" s="187"/>
      <c r="BE18" s="189"/>
    </row>
    <row r="19" spans="2:63" ht="15.95" customHeight="1">
      <c r="B19" s="194"/>
      <c r="C19" s="69"/>
      <c r="D19" s="180"/>
      <c r="E19" s="181"/>
      <c r="F19" s="181"/>
      <c r="G19" s="181"/>
      <c r="H19" s="181"/>
      <c r="I19" s="181"/>
      <c r="J19" s="181"/>
      <c r="K19" s="182"/>
      <c r="L19" s="180"/>
      <c r="M19" s="181"/>
      <c r="N19" s="182"/>
      <c r="O19" s="65" t="s">
        <v>670</v>
      </c>
      <c r="P19" s="44"/>
      <c r="Q19" s="25" t="s">
        <v>26</v>
      </c>
      <c r="R19" s="22" t="s">
        <v>28</v>
      </c>
      <c r="S19" s="22" t="s">
        <v>28</v>
      </c>
      <c r="T19" s="22" t="s">
        <v>28</v>
      </c>
      <c r="U19" s="113" t="s">
        <v>30</v>
      </c>
      <c r="V19" s="22" t="s">
        <v>30</v>
      </c>
      <c r="W19" s="24" t="s">
        <v>28</v>
      </c>
      <c r="X19" s="25"/>
      <c r="Y19" s="21" t="s">
        <v>28</v>
      </c>
      <c r="Z19" s="21" t="s">
        <v>28</v>
      </c>
      <c r="AA19" s="21" t="s">
        <v>28</v>
      </c>
      <c r="AB19" s="113" t="s">
        <v>26</v>
      </c>
      <c r="AC19" s="137" t="s">
        <v>28</v>
      </c>
      <c r="AD19" s="24" t="s">
        <v>28</v>
      </c>
      <c r="AE19" s="25" t="s">
        <v>26</v>
      </c>
      <c r="AF19" s="21" t="s">
        <v>28</v>
      </c>
      <c r="AG19" s="21" t="s">
        <v>28</v>
      </c>
      <c r="AH19" s="21" t="s">
        <v>28</v>
      </c>
      <c r="AI19" s="113" t="s">
        <v>28</v>
      </c>
      <c r="AJ19" s="137" t="s">
        <v>28</v>
      </c>
      <c r="AK19" s="24" t="s">
        <v>28</v>
      </c>
      <c r="AL19" s="25" t="s">
        <v>26</v>
      </c>
      <c r="AM19" s="137" t="s">
        <v>28</v>
      </c>
      <c r="AN19" s="137" t="s">
        <v>28</v>
      </c>
      <c r="AO19" s="137" t="s">
        <v>28</v>
      </c>
      <c r="AP19" s="113" t="s">
        <v>28</v>
      </c>
      <c r="AQ19" s="138" t="s">
        <v>26</v>
      </c>
      <c r="AR19" s="24" t="s">
        <v>28</v>
      </c>
      <c r="AS19" s="25" t="s">
        <v>26</v>
      </c>
      <c r="AT19" s="22" t="s">
        <v>28</v>
      </c>
      <c r="AU19" s="113" t="s">
        <v>28</v>
      </c>
      <c r="AV19" s="119"/>
      <c r="AW19" s="187"/>
      <c r="AX19" s="187"/>
      <c r="AY19" s="187"/>
      <c r="AZ19" s="187"/>
      <c r="BA19" s="187"/>
      <c r="BB19" s="187"/>
      <c r="BC19" s="187"/>
      <c r="BD19" s="187"/>
      <c r="BE19" s="189"/>
    </row>
    <row r="20" spans="2:63" ht="15.95" customHeight="1" thickBot="1">
      <c r="B20" s="195"/>
      <c r="C20" s="70"/>
      <c r="D20" s="183"/>
      <c r="E20" s="184"/>
      <c r="F20" s="184"/>
      <c r="G20" s="184"/>
      <c r="H20" s="184"/>
      <c r="I20" s="184"/>
      <c r="J20" s="184"/>
      <c r="K20" s="185"/>
      <c r="L20" s="183"/>
      <c r="M20" s="184"/>
      <c r="N20" s="185"/>
      <c r="O20" s="66" t="s">
        <v>671</v>
      </c>
      <c r="P20" s="45"/>
      <c r="Q20" s="84"/>
      <c r="R20" s="62"/>
      <c r="S20" s="62"/>
      <c r="T20" s="62"/>
      <c r="U20" s="139"/>
      <c r="V20" s="82"/>
      <c r="W20" s="63">
        <f>18-14</f>
        <v>4</v>
      </c>
      <c r="X20" s="84"/>
      <c r="Y20" s="62"/>
      <c r="Z20" s="62"/>
      <c r="AA20" s="62"/>
      <c r="AB20" s="139"/>
      <c r="AC20" s="82"/>
      <c r="AD20" s="63"/>
      <c r="AE20" s="84"/>
      <c r="AF20" s="62"/>
      <c r="AG20" s="62"/>
      <c r="AH20" s="62"/>
      <c r="AI20" s="139"/>
      <c r="AJ20" s="82"/>
      <c r="AK20" s="63"/>
      <c r="AL20" s="84"/>
      <c r="AM20" s="62"/>
      <c r="AN20" s="62"/>
      <c r="AO20" s="62"/>
      <c r="AP20" s="139"/>
      <c r="AQ20" s="139"/>
      <c r="AR20" s="63"/>
      <c r="AS20" s="84"/>
      <c r="AT20" s="82"/>
      <c r="AU20" s="62"/>
      <c r="AV20" s="128"/>
      <c r="AW20" s="187"/>
      <c r="AX20" s="187"/>
      <c r="AY20" s="187"/>
      <c r="AZ20" s="187"/>
      <c r="BA20" s="187"/>
      <c r="BB20" s="187"/>
      <c r="BC20" s="187"/>
      <c r="BD20" s="187"/>
      <c r="BE20" s="189"/>
    </row>
    <row r="21" spans="2:63" ht="15.95" customHeight="1">
      <c r="B21" s="193">
        <f>B17+1</f>
        <v>3</v>
      </c>
      <c r="C21" s="68"/>
      <c r="D21" s="177" t="s">
        <v>655</v>
      </c>
      <c r="E21" s="178"/>
      <c r="F21" s="178"/>
      <c r="G21" s="178"/>
      <c r="H21" s="178"/>
      <c r="I21" s="178"/>
      <c r="J21" s="178"/>
      <c r="K21" s="179"/>
      <c r="L21" s="177" t="s">
        <v>656</v>
      </c>
      <c r="M21" s="178"/>
      <c r="N21" s="179"/>
      <c r="O21" s="64" t="s">
        <v>668</v>
      </c>
      <c r="P21" s="47"/>
      <c r="Q21" s="77" t="s">
        <v>1488</v>
      </c>
      <c r="R21" s="81" t="s">
        <v>1489</v>
      </c>
      <c r="S21" s="81" t="s">
        <v>768</v>
      </c>
      <c r="T21" s="115" t="s">
        <v>689</v>
      </c>
      <c r="U21" s="140" t="s">
        <v>734</v>
      </c>
      <c r="V21" s="115" t="s">
        <v>683</v>
      </c>
      <c r="W21" s="79" t="s">
        <v>672</v>
      </c>
      <c r="X21" s="77" t="s">
        <v>734</v>
      </c>
      <c r="Y21" s="81" t="s">
        <v>754</v>
      </c>
      <c r="Z21" s="81" t="s">
        <v>754</v>
      </c>
      <c r="AA21" s="115" t="s">
        <v>672</v>
      </c>
      <c r="AB21" s="140" t="s">
        <v>734</v>
      </c>
      <c r="AC21" s="115" t="s">
        <v>149</v>
      </c>
      <c r="AD21" s="79" t="s">
        <v>690</v>
      </c>
      <c r="AE21" s="77" t="s">
        <v>734</v>
      </c>
      <c r="AF21" s="81" t="s">
        <v>672</v>
      </c>
      <c r="AG21" s="81" t="s">
        <v>734</v>
      </c>
      <c r="AH21" s="115" t="s">
        <v>794</v>
      </c>
      <c r="AI21" s="140" t="s">
        <v>672</v>
      </c>
      <c r="AJ21" s="115" t="s">
        <v>751</v>
      </c>
      <c r="AK21" s="79" t="s">
        <v>771</v>
      </c>
      <c r="AL21" s="77" t="s">
        <v>734</v>
      </c>
      <c r="AM21" s="81" t="s">
        <v>769</v>
      </c>
      <c r="AN21" s="81" t="s">
        <v>794</v>
      </c>
      <c r="AO21" s="115" t="s">
        <v>672</v>
      </c>
      <c r="AP21" s="140" t="s">
        <v>769</v>
      </c>
      <c r="AQ21" s="140" t="s">
        <v>734</v>
      </c>
      <c r="AR21" s="79" t="s">
        <v>768</v>
      </c>
      <c r="AS21" s="77" t="s">
        <v>734</v>
      </c>
      <c r="AT21" s="81" t="s">
        <v>751</v>
      </c>
      <c r="AU21" s="115" t="s">
        <v>533</v>
      </c>
      <c r="AV21" s="121"/>
      <c r="AW21" s="186">
        <f>COUNTIF(Q23:AT23,$AW$10)</f>
        <v>20</v>
      </c>
      <c r="AX21" s="186">
        <f>COUNTIF(Q23:AT23,$AX$10)</f>
        <v>1</v>
      </c>
      <c r="AY21" s="186">
        <f>COUNTIF(Q23:AT23,$AY$10)</f>
        <v>4</v>
      </c>
      <c r="AZ21" s="186">
        <f>COUNTIF(Q23:AT23,$AZ$10)</f>
        <v>2</v>
      </c>
      <c r="BA21" s="186">
        <f>COUNTIF(Q23:AT23,$BA$10)</f>
        <v>0</v>
      </c>
      <c r="BB21" s="186">
        <f>COUNTIF(Q23:AT23,$BB$10)</f>
        <v>1</v>
      </c>
      <c r="BC21" s="186">
        <f>COUNTIF(Q23:AT23,$BC$10)</f>
        <v>0</v>
      </c>
      <c r="BD21" s="186">
        <f>COUNTIF(Q23:AT23,$BD$10)</f>
        <v>0</v>
      </c>
      <c r="BE21" s="188">
        <f>SUM(Q24:AT24)</f>
        <v>15.5</v>
      </c>
    </row>
    <row r="22" spans="2:63" ht="15.95" customHeight="1">
      <c r="B22" s="194"/>
      <c r="C22" s="69"/>
      <c r="D22" s="180"/>
      <c r="E22" s="181"/>
      <c r="F22" s="181"/>
      <c r="G22" s="181"/>
      <c r="H22" s="181"/>
      <c r="I22" s="181"/>
      <c r="J22" s="181"/>
      <c r="K22" s="182"/>
      <c r="L22" s="180"/>
      <c r="M22" s="181"/>
      <c r="N22" s="182"/>
      <c r="O22" s="65" t="s">
        <v>669</v>
      </c>
      <c r="P22" s="44"/>
      <c r="Q22" s="76" t="s">
        <v>1490</v>
      </c>
      <c r="R22" s="80" t="s">
        <v>1489</v>
      </c>
      <c r="S22" s="80" t="s">
        <v>1491</v>
      </c>
      <c r="T22" s="114" t="s">
        <v>743</v>
      </c>
      <c r="U22" s="141" t="s">
        <v>734</v>
      </c>
      <c r="V22" s="114" t="s">
        <v>1492</v>
      </c>
      <c r="W22" s="72" t="s">
        <v>1493</v>
      </c>
      <c r="X22" s="76" t="s">
        <v>734</v>
      </c>
      <c r="Y22" s="80"/>
      <c r="Z22" s="80" t="s">
        <v>1494</v>
      </c>
      <c r="AA22" s="114" t="s">
        <v>778</v>
      </c>
      <c r="AB22" s="141" t="s">
        <v>734</v>
      </c>
      <c r="AC22" s="114" t="s">
        <v>869</v>
      </c>
      <c r="AD22" s="72" t="s">
        <v>1495</v>
      </c>
      <c r="AE22" s="76" t="s">
        <v>734</v>
      </c>
      <c r="AF22" s="80" t="s">
        <v>672</v>
      </c>
      <c r="AG22" s="80" t="s">
        <v>734</v>
      </c>
      <c r="AH22" s="114" t="s">
        <v>747</v>
      </c>
      <c r="AI22" s="113"/>
      <c r="AJ22" s="114" t="s">
        <v>1496</v>
      </c>
      <c r="AK22" s="72" t="s">
        <v>1497</v>
      </c>
      <c r="AL22" s="76" t="s">
        <v>734</v>
      </c>
      <c r="AM22" s="80" t="s">
        <v>797</v>
      </c>
      <c r="AN22" s="80" t="s">
        <v>860</v>
      </c>
      <c r="AO22" s="114" t="s">
        <v>744</v>
      </c>
      <c r="AP22" s="141" t="s">
        <v>818</v>
      </c>
      <c r="AQ22" s="141" t="s">
        <v>734</v>
      </c>
      <c r="AR22" s="72" t="s">
        <v>1498</v>
      </c>
      <c r="AS22" s="76" t="s">
        <v>734</v>
      </c>
      <c r="AT22" s="80" t="s">
        <v>432</v>
      </c>
      <c r="AU22" s="114" t="s">
        <v>865</v>
      </c>
      <c r="AV22" s="120"/>
      <c r="AW22" s="187"/>
      <c r="AX22" s="187"/>
      <c r="AY22" s="187"/>
      <c r="AZ22" s="187"/>
      <c r="BA22" s="187"/>
      <c r="BB22" s="187"/>
      <c r="BC22" s="187"/>
      <c r="BD22" s="187"/>
      <c r="BE22" s="189"/>
    </row>
    <row r="23" spans="2:63" ht="15.95" customHeight="1">
      <c r="B23" s="194"/>
      <c r="C23" s="69"/>
      <c r="D23" s="180"/>
      <c r="E23" s="181"/>
      <c r="F23" s="181"/>
      <c r="G23" s="181"/>
      <c r="H23" s="181"/>
      <c r="I23" s="181"/>
      <c r="J23" s="181"/>
      <c r="K23" s="182"/>
      <c r="L23" s="180"/>
      <c r="M23" s="181"/>
      <c r="N23" s="182"/>
      <c r="O23" s="65" t="s">
        <v>670</v>
      </c>
      <c r="P23" s="44"/>
      <c r="Q23" s="25" t="s">
        <v>29</v>
      </c>
      <c r="R23" s="22" t="s">
        <v>28</v>
      </c>
      <c r="S23" s="22" t="s">
        <v>28</v>
      </c>
      <c r="T23" s="113" t="s">
        <v>28</v>
      </c>
      <c r="U23" s="113" t="s">
        <v>30</v>
      </c>
      <c r="V23" s="23" t="s">
        <v>30</v>
      </c>
      <c r="W23" s="24" t="s">
        <v>28</v>
      </c>
      <c r="X23" s="25"/>
      <c r="Y23" s="22" t="s">
        <v>28</v>
      </c>
      <c r="Z23" s="22" t="s">
        <v>28</v>
      </c>
      <c r="AA23" s="113" t="s">
        <v>28</v>
      </c>
      <c r="AB23" s="138" t="s">
        <v>26</v>
      </c>
      <c r="AC23" s="23" t="s">
        <v>28</v>
      </c>
      <c r="AD23" s="24" t="s">
        <v>28</v>
      </c>
      <c r="AE23" s="25" t="s">
        <v>26</v>
      </c>
      <c r="AF23" s="21" t="s">
        <v>28</v>
      </c>
      <c r="AG23" s="22" t="s">
        <v>23</v>
      </c>
      <c r="AH23" s="21" t="s">
        <v>28</v>
      </c>
      <c r="AI23" s="113" t="s">
        <v>28</v>
      </c>
      <c r="AJ23" s="21" t="s">
        <v>28</v>
      </c>
      <c r="AK23" s="24" t="s">
        <v>28</v>
      </c>
      <c r="AL23" s="25"/>
      <c r="AM23" s="21" t="s">
        <v>28</v>
      </c>
      <c r="AN23" s="21" t="s">
        <v>28</v>
      </c>
      <c r="AO23" s="21" t="s">
        <v>28</v>
      </c>
      <c r="AP23" s="21" t="s">
        <v>28</v>
      </c>
      <c r="AQ23" s="147" t="s">
        <v>26</v>
      </c>
      <c r="AR23" s="24" t="s">
        <v>28</v>
      </c>
      <c r="AS23" s="25" t="s">
        <v>26</v>
      </c>
      <c r="AT23" s="21" t="s">
        <v>28</v>
      </c>
      <c r="AU23" s="21" t="s">
        <v>28</v>
      </c>
      <c r="AV23" s="119"/>
      <c r="AW23" s="187"/>
      <c r="AX23" s="187"/>
      <c r="AY23" s="187"/>
      <c r="AZ23" s="187"/>
      <c r="BA23" s="187"/>
      <c r="BB23" s="187"/>
      <c r="BC23" s="187"/>
      <c r="BD23" s="187"/>
      <c r="BE23" s="189"/>
    </row>
    <row r="24" spans="2:63" ht="15.95" customHeight="1" thickBot="1">
      <c r="B24" s="195"/>
      <c r="C24" s="70"/>
      <c r="D24" s="183"/>
      <c r="E24" s="184"/>
      <c r="F24" s="184"/>
      <c r="G24" s="184"/>
      <c r="H24" s="184"/>
      <c r="I24" s="184"/>
      <c r="J24" s="184"/>
      <c r="K24" s="185"/>
      <c r="L24" s="183"/>
      <c r="M24" s="184"/>
      <c r="N24" s="185"/>
      <c r="O24" s="66" t="s">
        <v>671</v>
      </c>
      <c r="P24" s="45"/>
      <c r="Q24" s="25">
        <v>4</v>
      </c>
      <c r="R24" s="62">
        <f>20-0.5-16</f>
        <v>3.5</v>
      </c>
      <c r="S24" s="62">
        <v>5</v>
      </c>
      <c r="T24" s="62"/>
      <c r="U24" s="139"/>
      <c r="V24" s="62">
        <f>19-0.5-17</f>
        <v>1.5</v>
      </c>
      <c r="W24" s="63">
        <f>15.5-14</f>
        <v>1.5</v>
      </c>
      <c r="X24" s="84"/>
      <c r="Y24" s="62"/>
      <c r="Z24" s="62"/>
      <c r="AA24" s="62"/>
      <c r="AB24" s="139"/>
      <c r="AC24" s="82"/>
      <c r="AD24" s="63"/>
      <c r="AE24" s="84"/>
      <c r="AF24" s="62"/>
      <c r="AG24" s="62"/>
      <c r="AH24" s="62"/>
      <c r="AI24" s="139"/>
      <c r="AJ24" s="82"/>
      <c r="AK24" s="63"/>
      <c r="AL24" s="84"/>
      <c r="AM24" s="62"/>
      <c r="AN24" s="62"/>
      <c r="AO24" s="62"/>
      <c r="AP24" s="139"/>
      <c r="AQ24" s="139"/>
      <c r="AR24" s="63"/>
      <c r="AS24" s="84"/>
      <c r="AT24" s="82"/>
      <c r="AU24" s="62"/>
      <c r="AV24" s="128"/>
      <c r="AW24" s="187"/>
      <c r="AX24" s="187"/>
      <c r="AY24" s="187"/>
      <c r="AZ24" s="187"/>
      <c r="BA24" s="187"/>
      <c r="BB24" s="187"/>
      <c r="BC24" s="187"/>
      <c r="BD24" s="187"/>
      <c r="BE24" s="189"/>
    </row>
    <row r="25" spans="2:63" ht="15.95" customHeight="1">
      <c r="B25" s="193">
        <f>B21+1</f>
        <v>4</v>
      </c>
      <c r="C25" s="68">
        <v>14</v>
      </c>
      <c r="D25" s="177" t="s">
        <v>5</v>
      </c>
      <c r="E25" s="178"/>
      <c r="F25" s="178"/>
      <c r="G25" s="178"/>
      <c r="H25" s="178"/>
      <c r="I25" s="178"/>
      <c r="J25" s="178"/>
      <c r="K25" s="179"/>
      <c r="L25" s="177" t="s">
        <v>42</v>
      </c>
      <c r="M25" s="178"/>
      <c r="N25" s="179"/>
      <c r="O25" s="64" t="s">
        <v>668</v>
      </c>
      <c r="P25" s="47"/>
      <c r="Q25" s="77" t="s">
        <v>1499</v>
      </c>
      <c r="R25" s="81" t="s">
        <v>738</v>
      </c>
      <c r="S25" s="81" t="s">
        <v>733</v>
      </c>
      <c r="T25" s="115" t="s">
        <v>681</v>
      </c>
      <c r="U25" s="140" t="s">
        <v>1500</v>
      </c>
      <c r="V25" s="115" t="s">
        <v>736</v>
      </c>
      <c r="W25" s="79" t="s">
        <v>794</v>
      </c>
      <c r="X25" s="77" t="s">
        <v>918</v>
      </c>
      <c r="Y25" s="81" t="s">
        <v>771</v>
      </c>
      <c r="Z25" s="81" t="s">
        <v>737</v>
      </c>
      <c r="AA25" s="115" t="s">
        <v>768</v>
      </c>
      <c r="AB25" s="140" t="s">
        <v>734</v>
      </c>
      <c r="AC25" s="115" t="s">
        <v>734</v>
      </c>
      <c r="AD25" s="79" t="s">
        <v>734</v>
      </c>
      <c r="AE25" s="77" t="s">
        <v>734</v>
      </c>
      <c r="AF25" s="81" t="s">
        <v>1052</v>
      </c>
      <c r="AG25" s="81" t="s">
        <v>768</v>
      </c>
      <c r="AH25" s="115" t="s">
        <v>681</v>
      </c>
      <c r="AI25" s="140" t="s">
        <v>149</v>
      </c>
      <c r="AJ25" s="115" t="s">
        <v>738</v>
      </c>
      <c r="AK25" s="79" t="s">
        <v>141</v>
      </c>
      <c r="AL25" s="77" t="s">
        <v>823</v>
      </c>
      <c r="AM25" s="81" t="s">
        <v>685</v>
      </c>
      <c r="AN25" s="81" t="s">
        <v>738</v>
      </c>
      <c r="AO25" s="115" t="s">
        <v>738</v>
      </c>
      <c r="AP25" s="140" t="s">
        <v>141</v>
      </c>
      <c r="AQ25" s="140" t="s">
        <v>811</v>
      </c>
      <c r="AR25" s="79" t="s">
        <v>733</v>
      </c>
      <c r="AS25" s="77" t="s">
        <v>858</v>
      </c>
      <c r="AT25" s="81" t="s">
        <v>732</v>
      </c>
      <c r="AU25" s="115" t="s">
        <v>737</v>
      </c>
      <c r="AV25" s="121"/>
      <c r="AW25" s="186">
        <f>COUNTIF(Q27:AT27,$AW$10)</f>
        <v>19</v>
      </c>
      <c r="AX25" s="186">
        <f>COUNTIF(Q27:AT27,$AX$10)</f>
        <v>7</v>
      </c>
      <c r="AY25" s="186">
        <f>COUNTIF(Q27:AT27,$AY$10)</f>
        <v>0</v>
      </c>
      <c r="AZ25" s="186">
        <f>COUNTIF(Q27:AT27,$AZ$10)</f>
        <v>4</v>
      </c>
      <c r="BA25" s="186">
        <f>COUNTIF(Q27:AT27,$BA$10)</f>
        <v>0</v>
      </c>
      <c r="BB25" s="186">
        <f>COUNTIF(Q27:AT27,$BB$10)</f>
        <v>0</v>
      </c>
      <c r="BC25" s="186">
        <f>COUNTIF(Q27:AT27,$BC$10)</f>
        <v>0</v>
      </c>
      <c r="BD25" s="186">
        <f>COUNTIF(Q27:AT27,$BD$10)</f>
        <v>0</v>
      </c>
      <c r="BE25" s="188">
        <f>SUM(Q28:AT28)</f>
        <v>23.5</v>
      </c>
    </row>
    <row r="26" spans="2:63" ht="15.95" customHeight="1">
      <c r="B26" s="194"/>
      <c r="C26" s="69"/>
      <c r="D26" s="180"/>
      <c r="E26" s="181"/>
      <c r="F26" s="181"/>
      <c r="G26" s="181"/>
      <c r="H26" s="181"/>
      <c r="I26" s="181"/>
      <c r="J26" s="181"/>
      <c r="K26" s="182"/>
      <c r="L26" s="180"/>
      <c r="M26" s="181"/>
      <c r="N26" s="182"/>
      <c r="O26" s="65" t="s">
        <v>669</v>
      </c>
      <c r="P26" s="44"/>
      <c r="Q26" s="76" t="s">
        <v>1501</v>
      </c>
      <c r="R26" s="80" t="s">
        <v>195</v>
      </c>
      <c r="S26" s="80" t="s">
        <v>1479</v>
      </c>
      <c r="T26" s="114" t="s">
        <v>773</v>
      </c>
      <c r="U26" s="141" t="s">
        <v>804</v>
      </c>
      <c r="V26" s="114" t="s">
        <v>1502</v>
      </c>
      <c r="W26" s="72" t="s">
        <v>1503</v>
      </c>
      <c r="X26" s="76" t="s">
        <v>1482</v>
      </c>
      <c r="Y26" s="80" t="s">
        <v>1504</v>
      </c>
      <c r="Z26" s="80" t="s">
        <v>1505</v>
      </c>
      <c r="AA26" s="114" t="s">
        <v>816</v>
      </c>
      <c r="AB26" s="141" t="s">
        <v>734</v>
      </c>
      <c r="AC26" s="114" t="s">
        <v>734</v>
      </c>
      <c r="AD26" s="72" t="s">
        <v>734</v>
      </c>
      <c r="AE26" s="76" t="s">
        <v>734</v>
      </c>
      <c r="AF26" s="80" t="s">
        <v>1052</v>
      </c>
      <c r="AG26" s="80" t="s">
        <v>1506</v>
      </c>
      <c r="AH26" s="114" t="s">
        <v>748</v>
      </c>
      <c r="AI26" s="141" t="s">
        <v>1507</v>
      </c>
      <c r="AJ26" s="114" t="s">
        <v>1503</v>
      </c>
      <c r="AK26" s="72" t="s">
        <v>743</v>
      </c>
      <c r="AL26" s="76" t="s">
        <v>758</v>
      </c>
      <c r="AM26" s="80" t="s">
        <v>871</v>
      </c>
      <c r="AN26" s="80" t="s">
        <v>1508</v>
      </c>
      <c r="AO26" s="114" t="s">
        <v>1509</v>
      </c>
      <c r="AP26" s="141" t="s">
        <v>1510</v>
      </c>
      <c r="AQ26" s="141"/>
      <c r="AR26" s="72" t="s">
        <v>764</v>
      </c>
      <c r="AS26" s="76" t="s">
        <v>1482</v>
      </c>
      <c r="AT26" s="80" t="s">
        <v>432</v>
      </c>
      <c r="AU26" s="114" t="s">
        <v>773</v>
      </c>
      <c r="AV26" s="120"/>
      <c r="AW26" s="187"/>
      <c r="AX26" s="187"/>
      <c r="AY26" s="187"/>
      <c r="AZ26" s="187"/>
      <c r="BA26" s="187"/>
      <c r="BB26" s="187"/>
      <c r="BC26" s="187"/>
      <c r="BD26" s="187"/>
      <c r="BE26" s="189"/>
    </row>
    <row r="27" spans="2:63" ht="15.95" customHeight="1">
      <c r="B27" s="194"/>
      <c r="C27" s="69"/>
      <c r="D27" s="180"/>
      <c r="E27" s="181"/>
      <c r="F27" s="181"/>
      <c r="G27" s="181"/>
      <c r="H27" s="181"/>
      <c r="I27" s="181"/>
      <c r="J27" s="181"/>
      <c r="K27" s="182"/>
      <c r="L27" s="180"/>
      <c r="M27" s="181"/>
      <c r="N27" s="182"/>
      <c r="O27" s="65" t="s">
        <v>670</v>
      </c>
      <c r="P27" s="44"/>
      <c r="Q27" s="25" t="s">
        <v>29</v>
      </c>
      <c r="R27" s="22" t="s">
        <v>28</v>
      </c>
      <c r="S27" s="22" t="s">
        <v>28</v>
      </c>
      <c r="T27" s="113" t="s">
        <v>28</v>
      </c>
      <c r="U27" s="113" t="s">
        <v>29</v>
      </c>
      <c r="V27" s="22" t="s">
        <v>29</v>
      </c>
      <c r="W27" s="24" t="s">
        <v>28</v>
      </c>
      <c r="X27" s="25" t="s">
        <v>29</v>
      </c>
      <c r="Y27" s="22" t="s">
        <v>28</v>
      </c>
      <c r="Z27" s="22" t="s">
        <v>28</v>
      </c>
      <c r="AA27" s="113" t="s">
        <v>28</v>
      </c>
      <c r="AB27" s="138" t="s">
        <v>30</v>
      </c>
      <c r="AC27" s="160" t="s">
        <v>30</v>
      </c>
      <c r="AD27" s="161" t="s">
        <v>30</v>
      </c>
      <c r="AE27" s="25" t="s">
        <v>30</v>
      </c>
      <c r="AF27" s="113" t="s">
        <v>28</v>
      </c>
      <c r="AG27" s="113" t="s">
        <v>28</v>
      </c>
      <c r="AH27" s="113" t="s">
        <v>28</v>
      </c>
      <c r="AI27" s="113" t="s">
        <v>28</v>
      </c>
      <c r="AJ27" s="113" t="s">
        <v>28</v>
      </c>
      <c r="AK27" s="24" t="s">
        <v>28</v>
      </c>
      <c r="AL27" s="25" t="s">
        <v>29</v>
      </c>
      <c r="AM27" s="113" t="s">
        <v>28</v>
      </c>
      <c r="AN27" s="113" t="s">
        <v>28</v>
      </c>
      <c r="AO27" s="113" t="s">
        <v>28</v>
      </c>
      <c r="AP27" s="113" t="s">
        <v>28</v>
      </c>
      <c r="AQ27" s="113" t="s">
        <v>29</v>
      </c>
      <c r="AR27" s="24" t="s">
        <v>28</v>
      </c>
      <c r="AS27" s="25" t="s">
        <v>29</v>
      </c>
      <c r="AT27" s="113" t="s">
        <v>28</v>
      </c>
      <c r="AU27" s="113" t="s">
        <v>28</v>
      </c>
      <c r="AV27" s="119"/>
      <c r="AW27" s="187"/>
      <c r="AX27" s="187"/>
      <c r="AY27" s="187"/>
      <c r="AZ27" s="187"/>
      <c r="BA27" s="187"/>
      <c r="BB27" s="187"/>
      <c r="BC27" s="187"/>
      <c r="BD27" s="187"/>
      <c r="BE27" s="189"/>
    </row>
    <row r="28" spans="2:63" ht="15.95" customHeight="1" thickBot="1">
      <c r="B28" s="195"/>
      <c r="C28" s="70"/>
      <c r="D28" s="183"/>
      <c r="E28" s="184"/>
      <c r="F28" s="184"/>
      <c r="G28" s="184"/>
      <c r="H28" s="184"/>
      <c r="I28" s="184"/>
      <c r="J28" s="184"/>
      <c r="K28" s="185"/>
      <c r="L28" s="183"/>
      <c r="M28" s="184"/>
      <c r="N28" s="185"/>
      <c r="O28" s="66" t="s">
        <v>671</v>
      </c>
      <c r="P28" s="45"/>
      <c r="Q28" s="85"/>
      <c r="R28" s="82"/>
      <c r="S28" s="62"/>
      <c r="T28" s="62"/>
      <c r="U28" s="62"/>
      <c r="V28" s="62">
        <v>4.5</v>
      </c>
      <c r="W28" s="63">
        <f>20-14-0.5</f>
        <v>5.5</v>
      </c>
      <c r="X28" s="85"/>
      <c r="Y28" s="62">
        <f>21-0.5-16</f>
        <v>4.5</v>
      </c>
      <c r="Z28" s="62">
        <f>21-0.5-16</f>
        <v>4.5</v>
      </c>
      <c r="AA28" s="62"/>
      <c r="AB28" s="62"/>
      <c r="AC28" s="82"/>
      <c r="AD28" s="63"/>
      <c r="AE28" s="85"/>
      <c r="AF28" s="82"/>
      <c r="AG28" s="62">
        <f>21-0.5-16</f>
        <v>4.5</v>
      </c>
      <c r="AH28" s="62"/>
      <c r="AI28" s="62"/>
      <c r="AJ28" s="82"/>
      <c r="AK28" s="63"/>
      <c r="AL28" s="85"/>
      <c r="AM28" s="82"/>
      <c r="AN28" s="62"/>
      <c r="AO28" s="62"/>
      <c r="AP28" s="62"/>
      <c r="AQ28" s="139"/>
      <c r="AR28" s="63"/>
      <c r="AS28" s="85"/>
      <c r="AT28" s="82"/>
      <c r="AU28" s="62"/>
      <c r="AV28" s="128"/>
      <c r="AW28" s="187"/>
      <c r="AX28" s="187"/>
      <c r="AY28" s="187"/>
      <c r="AZ28" s="187"/>
      <c r="BA28" s="187"/>
      <c r="BB28" s="187"/>
      <c r="BC28" s="187"/>
      <c r="BD28" s="187"/>
      <c r="BE28" s="189"/>
    </row>
    <row r="29" spans="2:63" ht="15.95" customHeight="1">
      <c r="B29" s="193">
        <f>B25+1</f>
        <v>5</v>
      </c>
      <c r="C29" s="68"/>
      <c r="D29" s="177" t="s">
        <v>15</v>
      </c>
      <c r="E29" s="178"/>
      <c r="F29" s="178"/>
      <c r="G29" s="178"/>
      <c r="H29" s="178"/>
      <c r="I29" s="178"/>
      <c r="J29" s="178" t="s">
        <v>665</v>
      </c>
      <c r="K29" s="179"/>
      <c r="L29" s="177" t="s">
        <v>21</v>
      </c>
      <c r="M29" s="178"/>
      <c r="N29" s="179"/>
      <c r="O29" s="64" t="s">
        <v>668</v>
      </c>
      <c r="P29" s="47"/>
      <c r="Q29" s="77" t="s">
        <v>753</v>
      </c>
      <c r="R29" s="81" t="s">
        <v>663</v>
      </c>
      <c r="S29" s="81" t="s">
        <v>768</v>
      </c>
      <c r="T29" s="115" t="s">
        <v>732</v>
      </c>
      <c r="U29" s="140" t="s">
        <v>533</v>
      </c>
      <c r="V29" s="115" t="s">
        <v>663</v>
      </c>
      <c r="W29" s="79" t="s">
        <v>683</v>
      </c>
      <c r="X29" s="77" t="s">
        <v>734</v>
      </c>
      <c r="Y29" s="81" t="s">
        <v>734</v>
      </c>
      <c r="Z29" s="81" t="s">
        <v>734</v>
      </c>
      <c r="AA29" s="115" t="s">
        <v>114</v>
      </c>
      <c r="AB29" s="140" t="s">
        <v>734</v>
      </c>
      <c r="AC29" s="115" t="s">
        <v>149</v>
      </c>
      <c r="AD29" s="79" t="s">
        <v>114</v>
      </c>
      <c r="AE29" s="77" t="s">
        <v>1039</v>
      </c>
      <c r="AF29" s="81" t="s">
        <v>149</v>
      </c>
      <c r="AG29" s="81" t="s">
        <v>689</v>
      </c>
      <c r="AH29" s="115" t="s">
        <v>672</v>
      </c>
      <c r="AI29" s="140" t="s">
        <v>685</v>
      </c>
      <c r="AJ29" s="115" t="s">
        <v>1511</v>
      </c>
      <c r="AK29" s="79" t="s">
        <v>149</v>
      </c>
      <c r="AL29" s="77" t="s">
        <v>812</v>
      </c>
      <c r="AM29" s="81" t="s">
        <v>751</v>
      </c>
      <c r="AN29" s="81" t="s">
        <v>732</v>
      </c>
      <c r="AO29" s="115" t="s">
        <v>1512</v>
      </c>
      <c r="AP29" s="140" t="s">
        <v>83</v>
      </c>
      <c r="AQ29" s="140" t="s">
        <v>734</v>
      </c>
      <c r="AR29" s="79" t="s">
        <v>734</v>
      </c>
      <c r="AS29" s="77" t="s">
        <v>734</v>
      </c>
      <c r="AT29" s="81" t="s">
        <v>769</v>
      </c>
      <c r="AU29" s="115" t="s">
        <v>768</v>
      </c>
      <c r="AV29" s="121"/>
      <c r="AW29" s="186">
        <f>COUNTIF(Q31:AT31,$AW$10)</f>
        <v>20</v>
      </c>
      <c r="AX29" s="186">
        <f>COUNTIF(Q31:AT31,$AX$10)</f>
        <v>6</v>
      </c>
      <c r="AY29" s="186">
        <f>COUNTIF(Q31:AT31,$AY$10)</f>
        <v>3</v>
      </c>
      <c r="AZ29" s="186">
        <f>COUNTIF(Q31:AT31,$AZ$10)</f>
        <v>0</v>
      </c>
      <c r="BA29" s="186">
        <f>COUNTIF(Q31:AT31,$BA$10)</f>
        <v>0</v>
      </c>
      <c r="BB29" s="186">
        <f>COUNTIF(Q31:AT31,$BB$10)</f>
        <v>0</v>
      </c>
      <c r="BC29" s="186">
        <f>COUNTIF(Q31:AT31,$BC$10)</f>
        <v>0</v>
      </c>
      <c r="BD29" s="186">
        <f>COUNTIF(Q31:AT31,$BD$10)</f>
        <v>0</v>
      </c>
      <c r="BE29" s="188">
        <f>SUM(Q32:AT32)</f>
        <v>85</v>
      </c>
    </row>
    <row r="30" spans="2:63" ht="15.95" customHeight="1">
      <c r="B30" s="194"/>
      <c r="C30" s="69"/>
      <c r="D30" s="180"/>
      <c r="E30" s="181"/>
      <c r="F30" s="181"/>
      <c r="G30" s="181"/>
      <c r="H30" s="181"/>
      <c r="I30" s="181"/>
      <c r="J30" s="181"/>
      <c r="K30" s="182"/>
      <c r="L30" s="180"/>
      <c r="M30" s="181"/>
      <c r="N30" s="182"/>
      <c r="O30" s="65" t="s">
        <v>669</v>
      </c>
      <c r="P30" s="44"/>
      <c r="Q30" s="76" t="s">
        <v>1513</v>
      </c>
      <c r="R30" s="80" t="s">
        <v>1514</v>
      </c>
      <c r="S30" s="80" t="s">
        <v>1515</v>
      </c>
      <c r="T30" s="114" t="s">
        <v>1516</v>
      </c>
      <c r="U30" s="141" t="s">
        <v>1517</v>
      </c>
      <c r="V30" s="114" t="s">
        <v>1518</v>
      </c>
      <c r="W30" s="72"/>
      <c r="X30" s="76" t="s">
        <v>734</v>
      </c>
      <c r="Y30" s="80" t="s">
        <v>734</v>
      </c>
      <c r="Z30" s="80" t="s">
        <v>734</v>
      </c>
      <c r="AA30" s="114" t="s">
        <v>862</v>
      </c>
      <c r="AB30" s="141" t="s">
        <v>734</v>
      </c>
      <c r="AC30" s="114" t="s">
        <v>807</v>
      </c>
      <c r="AD30" s="72" t="s">
        <v>1519</v>
      </c>
      <c r="AE30" s="76" t="s">
        <v>831</v>
      </c>
      <c r="AF30" s="80" t="s">
        <v>862</v>
      </c>
      <c r="AG30" s="80" t="s">
        <v>1520</v>
      </c>
      <c r="AH30" s="114" t="s">
        <v>1521</v>
      </c>
      <c r="AI30" s="141">
        <v>0.8305555555555556</v>
      </c>
      <c r="AJ30" s="114" t="s">
        <v>1511</v>
      </c>
      <c r="AK30" s="72" t="s">
        <v>785</v>
      </c>
      <c r="AL30" s="76" t="s">
        <v>1492</v>
      </c>
      <c r="AM30" s="80" t="s">
        <v>1522</v>
      </c>
      <c r="AN30" s="80">
        <v>1</v>
      </c>
      <c r="AO30" s="114" t="s">
        <v>1523</v>
      </c>
      <c r="AP30" s="141" t="s">
        <v>1524</v>
      </c>
      <c r="AQ30" s="141" t="s">
        <v>734</v>
      </c>
      <c r="AR30" s="72" t="s">
        <v>734</v>
      </c>
      <c r="AS30" s="76" t="s">
        <v>734</v>
      </c>
      <c r="AT30" s="80" t="s">
        <v>1525</v>
      </c>
      <c r="AU30" s="114">
        <v>0.80208333333333337</v>
      </c>
      <c r="AV30" s="120"/>
      <c r="AW30" s="187"/>
      <c r="AX30" s="187"/>
      <c r="AY30" s="187"/>
      <c r="AZ30" s="187"/>
      <c r="BA30" s="187"/>
      <c r="BB30" s="187"/>
      <c r="BC30" s="187"/>
      <c r="BD30" s="187"/>
      <c r="BE30" s="189"/>
      <c r="BK30" s="21"/>
    </row>
    <row r="31" spans="2:63" ht="15.95" customHeight="1">
      <c r="B31" s="194"/>
      <c r="C31" s="69"/>
      <c r="D31" s="180"/>
      <c r="E31" s="181"/>
      <c r="F31" s="181"/>
      <c r="G31" s="181"/>
      <c r="H31" s="181"/>
      <c r="I31" s="181"/>
      <c r="J31" s="181"/>
      <c r="K31" s="182"/>
      <c r="L31" s="180"/>
      <c r="M31" s="181"/>
      <c r="N31" s="182"/>
      <c r="O31" s="65" t="s">
        <v>670</v>
      </c>
      <c r="P31" s="44"/>
      <c r="Q31" s="25" t="s">
        <v>29</v>
      </c>
      <c r="R31" s="22" t="s">
        <v>28</v>
      </c>
      <c r="S31" s="22" t="s">
        <v>28</v>
      </c>
      <c r="T31" s="113" t="s">
        <v>28</v>
      </c>
      <c r="U31" s="113" t="s">
        <v>29</v>
      </c>
      <c r="V31" s="22" t="s">
        <v>29</v>
      </c>
      <c r="W31" s="24" t="s">
        <v>28</v>
      </c>
      <c r="X31" s="25" t="s">
        <v>29</v>
      </c>
      <c r="Y31" s="22" t="s">
        <v>28</v>
      </c>
      <c r="Z31" s="22" t="s">
        <v>28</v>
      </c>
      <c r="AA31" s="113" t="s">
        <v>28</v>
      </c>
      <c r="AB31" s="138" t="s">
        <v>26</v>
      </c>
      <c r="AC31" s="22" t="s">
        <v>28</v>
      </c>
      <c r="AD31" s="24" t="s">
        <v>28</v>
      </c>
      <c r="AE31" s="25" t="s">
        <v>29</v>
      </c>
      <c r="AF31" s="22" t="s">
        <v>28</v>
      </c>
      <c r="AG31" s="22" t="s">
        <v>28</v>
      </c>
      <c r="AH31" s="22" t="s">
        <v>28</v>
      </c>
      <c r="AI31" s="113" t="s">
        <v>28</v>
      </c>
      <c r="AJ31" s="22" t="s">
        <v>28</v>
      </c>
      <c r="AK31" s="24" t="s">
        <v>28</v>
      </c>
      <c r="AL31" s="25" t="s">
        <v>29</v>
      </c>
      <c r="AM31" s="22" t="s">
        <v>28</v>
      </c>
      <c r="AN31" s="22" t="s">
        <v>28</v>
      </c>
      <c r="AO31" s="22" t="s">
        <v>28</v>
      </c>
      <c r="AP31" s="113" t="s">
        <v>28</v>
      </c>
      <c r="AQ31" s="113" t="s">
        <v>26</v>
      </c>
      <c r="AR31" s="24"/>
      <c r="AS31" s="25" t="s">
        <v>26</v>
      </c>
      <c r="AT31" s="22" t="s">
        <v>28</v>
      </c>
      <c r="AU31" s="22" t="s">
        <v>28</v>
      </c>
      <c r="AV31" s="119"/>
      <c r="AW31" s="187"/>
      <c r="AX31" s="187"/>
      <c r="AY31" s="187"/>
      <c r="AZ31" s="187"/>
      <c r="BA31" s="187"/>
      <c r="BB31" s="187"/>
      <c r="BC31" s="187"/>
      <c r="BD31" s="187"/>
      <c r="BE31" s="189"/>
      <c r="BK31" s="21"/>
    </row>
    <row r="32" spans="2:63" ht="15.95" customHeight="1" thickBot="1">
      <c r="B32" s="195"/>
      <c r="C32" s="70"/>
      <c r="D32" s="183"/>
      <c r="E32" s="184"/>
      <c r="F32" s="184"/>
      <c r="G32" s="184"/>
      <c r="H32" s="184"/>
      <c r="I32" s="184"/>
      <c r="J32" s="184"/>
      <c r="K32" s="185"/>
      <c r="L32" s="183"/>
      <c r="M32" s="184"/>
      <c r="N32" s="185"/>
      <c r="O32" s="66" t="s">
        <v>671</v>
      </c>
      <c r="P32" s="45"/>
      <c r="Q32" s="85">
        <f>21.5-0.5-16</f>
        <v>5</v>
      </c>
      <c r="R32" s="21">
        <v>4.5</v>
      </c>
      <c r="S32" s="23">
        <f>22-0.5-16</f>
        <v>5.5</v>
      </c>
      <c r="T32" s="137">
        <v>4.5</v>
      </c>
      <c r="U32" s="62">
        <f>19.5-0.5-16</f>
        <v>3</v>
      </c>
      <c r="V32" s="62">
        <v>4.5</v>
      </c>
      <c r="W32" s="102"/>
      <c r="X32" s="85"/>
      <c r="Y32" s="21"/>
      <c r="Z32" s="23"/>
      <c r="AA32" s="137"/>
      <c r="AB32" s="62"/>
      <c r="AC32" s="62">
        <f>21-0.5-17</f>
        <v>3.5</v>
      </c>
      <c r="AD32" s="102"/>
      <c r="AE32" s="85"/>
      <c r="AF32" s="21">
        <v>2.5</v>
      </c>
      <c r="AG32" s="23">
        <f>22.5-0.5-16</f>
        <v>6</v>
      </c>
      <c r="AH32" s="137">
        <f>23-0.5-16</f>
        <v>6.5</v>
      </c>
      <c r="AI32" s="62">
        <f>20-0.5-16</f>
        <v>3.5</v>
      </c>
      <c r="AJ32" s="62"/>
      <c r="AK32" s="102">
        <f>22-0.5-13</f>
        <v>8.5</v>
      </c>
      <c r="AL32" s="85">
        <v>2.5</v>
      </c>
      <c r="AM32" s="21">
        <f>20-0.5-16</f>
        <v>3.5</v>
      </c>
      <c r="AN32" s="23">
        <v>7.5</v>
      </c>
      <c r="AO32" s="137">
        <f>22.5-0.5-16</f>
        <v>6</v>
      </c>
      <c r="AP32" s="62">
        <v>2.5</v>
      </c>
      <c r="AQ32" s="62"/>
      <c r="AR32" s="102"/>
      <c r="AS32" s="85"/>
      <c r="AT32" s="82">
        <f>22-0.5-16</f>
        <v>5.5</v>
      </c>
      <c r="AU32" s="62">
        <v>3</v>
      </c>
      <c r="AV32" s="127"/>
      <c r="AW32" s="187"/>
      <c r="AX32" s="187"/>
      <c r="AY32" s="187"/>
      <c r="AZ32" s="187"/>
      <c r="BA32" s="187"/>
      <c r="BB32" s="187"/>
      <c r="BC32" s="187"/>
      <c r="BD32" s="187"/>
      <c r="BE32" s="189"/>
      <c r="BK32" s="62"/>
    </row>
    <row r="33" spans="2:63" ht="15.95" customHeight="1" thickBot="1">
      <c r="B33" s="193">
        <f>B29+1</f>
        <v>6</v>
      </c>
      <c r="C33" s="68"/>
      <c r="D33" s="177" t="s">
        <v>20</v>
      </c>
      <c r="E33" s="178"/>
      <c r="F33" s="178"/>
      <c r="G33" s="178"/>
      <c r="H33" s="178"/>
      <c r="I33" s="178"/>
      <c r="J33" s="178" t="s">
        <v>665</v>
      </c>
      <c r="K33" s="179"/>
      <c r="L33" s="177" t="s">
        <v>21</v>
      </c>
      <c r="M33" s="178"/>
      <c r="N33" s="179"/>
      <c r="O33" s="64" t="s">
        <v>668</v>
      </c>
      <c r="P33" s="47"/>
      <c r="Q33" s="77" t="s">
        <v>1526</v>
      </c>
      <c r="R33" s="81" t="s">
        <v>793</v>
      </c>
      <c r="S33" s="81" t="s">
        <v>672</v>
      </c>
      <c r="T33" s="115" t="s">
        <v>751</v>
      </c>
      <c r="U33" s="140" t="s">
        <v>734</v>
      </c>
      <c r="V33" s="115" t="s">
        <v>81</v>
      </c>
      <c r="W33" s="79" t="s">
        <v>755</v>
      </c>
      <c r="X33" s="77" t="s">
        <v>734</v>
      </c>
      <c r="Y33" s="81" t="s">
        <v>81</v>
      </c>
      <c r="Z33" s="81" t="s">
        <v>149</v>
      </c>
      <c r="AA33" s="115" t="s">
        <v>769</v>
      </c>
      <c r="AB33" s="140" t="s">
        <v>734</v>
      </c>
      <c r="AC33" s="115" t="s">
        <v>751</v>
      </c>
      <c r="AD33" s="79" t="s">
        <v>751</v>
      </c>
      <c r="AE33" s="77" t="s">
        <v>734</v>
      </c>
      <c r="AF33" s="81" t="s">
        <v>734</v>
      </c>
      <c r="AG33" s="81" t="s">
        <v>793</v>
      </c>
      <c r="AH33" s="115" t="s">
        <v>738</v>
      </c>
      <c r="AI33" s="140" t="s">
        <v>114</v>
      </c>
      <c r="AJ33" s="115" t="s">
        <v>690</v>
      </c>
      <c r="AK33" s="79" t="s">
        <v>813</v>
      </c>
      <c r="AL33" s="77" t="s">
        <v>734</v>
      </c>
      <c r="AM33" s="81" t="s">
        <v>770</v>
      </c>
      <c r="AN33" s="81" t="s">
        <v>755</v>
      </c>
      <c r="AO33" s="115" t="s">
        <v>114</v>
      </c>
      <c r="AP33" s="140" t="s">
        <v>755</v>
      </c>
      <c r="AQ33" s="140" t="s">
        <v>734</v>
      </c>
      <c r="AR33" s="79" t="s">
        <v>754</v>
      </c>
      <c r="AS33" s="77" t="s">
        <v>833</v>
      </c>
      <c r="AT33" s="81" t="s">
        <v>749</v>
      </c>
      <c r="AU33" s="115" t="s">
        <v>114</v>
      </c>
      <c r="AV33" s="121"/>
      <c r="AW33" s="186">
        <f>COUNTIF(Q35:AT35,$AW$10)</f>
        <v>19</v>
      </c>
      <c r="AX33" s="186">
        <f>COUNTIF(Q35:AT35,$AX$10)</f>
        <v>3</v>
      </c>
      <c r="AY33" s="186">
        <f>COUNTIF(Q35:AT35,$AY$10)</f>
        <v>6</v>
      </c>
      <c r="AZ33" s="186">
        <f>COUNTIF(Q35:AT35,$AZ$10)</f>
        <v>1</v>
      </c>
      <c r="BA33" s="186">
        <f>COUNTIF(Q35:AT35,$BA$10)</f>
        <v>0</v>
      </c>
      <c r="BB33" s="186">
        <f>COUNTIF(Q35:AT35,$BB$10)</f>
        <v>1</v>
      </c>
      <c r="BC33" s="186">
        <f>COUNTIF(Q35:AT35,$BC$10)</f>
        <v>0</v>
      </c>
      <c r="BD33" s="186">
        <f>COUNTIF(Q35:AT35,$BD$10)</f>
        <v>0</v>
      </c>
      <c r="BE33" s="188">
        <f>SUM(Q36:AT36)</f>
        <v>68</v>
      </c>
      <c r="BK33" s="62"/>
    </row>
    <row r="34" spans="2:63" ht="15.95" customHeight="1" thickBot="1">
      <c r="B34" s="194"/>
      <c r="C34" s="69"/>
      <c r="D34" s="180"/>
      <c r="E34" s="181"/>
      <c r="F34" s="181"/>
      <c r="G34" s="181"/>
      <c r="H34" s="181"/>
      <c r="I34" s="181"/>
      <c r="J34" s="181"/>
      <c r="K34" s="182"/>
      <c r="L34" s="180"/>
      <c r="M34" s="181"/>
      <c r="N34" s="182"/>
      <c r="O34" s="65" t="s">
        <v>669</v>
      </c>
      <c r="P34" s="44"/>
      <c r="Q34" s="76" t="s">
        <v>786</v>
      </c>
      <c r="R34" s="80" t="s">
        <v>1508</v>
      </c>
      <c r="S34" s="80" t="s">
        <v>766</v>
      </c>
      <c r="T34" s="114" t="s">
        <v>1527</v>
      </c>
      <c r="U34" s="141" t="s">
        <v>734</v>
      </c>
      <c r="V34" s="114" t="s">
        <v>1528</v>
      </c>
      <c r="W34" s="72" t="s">
        <v>1525</v>
      </c>
      <c r="X34" s="76" t="s">
        <v>734</v>
      </c>
      <c r="Y34" s="80" t="s">
        <v>1529</v>
      </c>
      <c r="Z34" s="80" t="s">
        <v>803</v>
      </c>
      <c r="AA34" s="114" t="s">
        <v>826</v>
      </c>
      <c r="AB34" s="141" t="s">
        <v>734</v>
      </c>
      <c r="AC34" s="114" t="s">
        <v>1527</v>
      </c>
      <c r="AD34" s="72" t="s">
        <v>1530</v>
      </c>
      <c r="AE34" s="76" t="s">
        <v>734</v>
      </c>
      <c r="AF34" s="80" t="s">
        <v>734</v>
      </c>
      <c r="AG34" s="80" t="s">
        <v>684</v>
      </c>
      <c r="AH34" s="114" t="s">
        <v>797</v>
      </c>
      <c r="AI34" s="141" t="s">
        <v>1531</v>
      </c>
      <c r="AJ34" s="114" t="s">
        <v>825</v>
      </c>
      <c r="AK34" s="72" t="s">
        <v>765</v>
      </c>
      <c r="AL34" s="76" t="s">
        <v>734</v>
      </c>
      <c r="AM34" s="80" t="s">
        <v>1532</v>
      </c>
      <c r="AN34" s="80" t="s">
        <v>1533</v>
      </c>
      <c r="AO34" s="114" t="s">
        <v>1534</v>
      </c>
      <c r="AP34" s="113" t="s">
        <v>760</v>
      </c>
      <c r="AQ34" s="141" t="s">
        <v>734</v>
      </c>
      <c r="AR34" s="72" t="s">
        <v>783</v>
      </c>
      <c r="AS34" s="76" t="s">
        <v>809</v>
      </c>
      <c r="AT34" s="80" t="s">
        <v>1535</v>
      </c>
      <c r="AU34" s="114" t="s">
        <v>862</v>
      </c>
      <c r="AV34" s="120"/>
      <c r="AW34" s="187"/>
      <c r="AX34" s="187"/>
      <c r="AY34" s="187"/>
      <c r="AZ34" s="187"/>
      <c r="BA34" s="187"/>
      <c r="BB34" s="187"/>
      <c r="BC34" s="187"/>
      <c r="BD34" s="187"/>
      <c r="BE34" s="189"/>
      <c r="BK34" s="62"/>
    </row>
    <row r="35" spans="2:63" ht="15.95" customHeight="1" thickBot="1">
      <c r="B35" s="194"/>
      <c r="C35" s="69"/>
      <c r="D35" s="180"/>
      <c r="E35" s="181"/>
      <c r="F35" s="181"/>
      <c r="G35" s="181"/>
      <c r="H35" s="181"/>
      <c r="I35" s="181"/>
      <c r="J35" s="181"/>
      <c r="K35" s="182"/>
      <c r="L35" s="180"/>
      <c r="M35" s="181"/>
      <c r="N35" s="182"/>
      <c r="O35" s="65" t="s">
        <v>670</v>
      </c>
      <c r="P35" s="44"/>
      <c r="Q35" s="25" t="s">
        <v>29</v>
      </c>
      <c r="R35" s="22" t="s">
        <v>28</v>
      </c>
      <c r="S35" s="22" t="s">
        <v>28</v>
      </c>
      <c r="T35" s="113" t="s">
        <v>28</v>
      </c>
      <c r="U35" s="113" t="s">
        <v>30</v>
      </c>
      <c r="V35" s="22" t="s">
        <v>29</v>
      </c>
      <c r="W35" s="24" t="s">
        <v>28</v>
      </c>
      <c r="X35" s="25" t="s">
        <v>26</v>
      </c>
      <c r="Y35" s="22" t="s">
        <v>28</v>
      </c>
      <c r="Z35" s="22" t="s">
        <v>28</v>
      </c>
      <c r="AA35" s="113" t="s">
        <v>28</v>
      </c>
      <c r="AB35" s="138" t="s">
        <v>26</v>
      </c>
      <c r="AC35" s="22" t="s">
        <v>28</v>
      </c>
      <c r="AD35" s="24" t="s">
        <v>28</v>
      </c>
      <c r="AE35" s="25" t="s">
        <v>26</v>
      </c>
      <c r="AF35" s="160" t="s">
        <v>23</v>
      </c>
      <c r="AG35" s="22" t="s">
        <v>28</v>
      </c>
      <c r="AH35" s="22" t="s">
        <v>28</v>
      </c>
      <c r="AI35" s="113" t="s">
        <v>28</v>
      </c>
      <c r="AJ35" s="22" t="s">
        <v>28</v>
      </c>
      <c r="AK35" s="24" t="s">
        <v>28</v>
      </c>
      <c r="AL35" s="25" t="s">
        <v>26</v>
      </c>
      <c r="AM35" s="22" t="s">
        <v>28</v>
      </c>
      <c r="AN35" s="22" t="s">
        <v>28</v>
      </c>
      <c r="AO35" s="22" t="s">
        <v>28</v>
      </c>
      <c r="AP35" s="113" t="s">
        <v>26</v>
      </c>
      <c r="AQ35" s="113" t="s">
        <v>26</v>
      </c>
      <c r="AR35" s="24" t="s">
        <v>28</v>
      </c>
      <c r="AS35" s="25" t="s">
        <v>29</v>
      </c>
      <c r="AT35" s="22" t="s">
        <v>28</v>
      </c>
      <c r="AU35" s="113" t="s">
        <v>28</v>
      </c>
      <c r="AV35" s="107"/>
      <c r="AW35" s="187"/>
      <c r="AX35" s="187"/>
      <c r="AY35" s="187"/>
      <c r="AZ35" s="187"/>
      <c r="BA35" s="187"/>
      <c r="BB35" s="187"/>
      <c r="BC35" s="187"/>
      <c r="BD35" s="187"/>
      <c r="BE35" s="189"/>
      <c r="BK35" s="62"/>
    </row>
    <row r="36" spans="2:63" ht="15.95" customHeight="1" thickBot="1">
      <c r="B36" s="195"/>
      <c r="C36" s="70"/>
      <c r="D36" s="183"/>
      <c r="E36" s="184"/>
      <c r="F36" s="184"/>
      <c r="G36" s="184"/>
      <c r="H36" s="184"/>
      <c r="I36" s="184"/>
      <c r="J36" s="184"/>
      <c r="K36" s="185"/>
      <c r="L36" s="183"/>
      <c r="M36" s="184"/>
      <c r="N36" s="185"/>
      <c r="O36" s="66" t="s">
        <v>671</v>
      </c>
      <c r="P36" s="45"/>
      <c r="Q36" s="85">
        <f>21.5-0.5-16</f>
        <v>5</v>
      </c>
      <c r="R36" s="21">
        <v>1.5</v>
      </c>
      <c r="S36" s="23"/>
      <c r="T36" s="137">
        <v>3.5</v>
      </c>
      <c r="U36" s="62"/>
      <c r="V36" s="62">
        <v>4.5</v>
      </c>
      <c r="W36" s="102">
        <f>22-14-0.5</f>
        <v>7.5</v>
      </c>
      <c r="X36" s="85"/>
      <c r="Y36" s="62">
        <f>19.5-0.5-16</f>
        <v>3</v>
      </c>
      <c r="Z36" s="23">
        <f>21-0.5-16</f>
        <v>4.5</v>
      </c>
      <c r="AA36" s="137"/>
      <c r="AB36" s="62"/>
      <c r="AC36" s="62">
        <f>20-17-0.5</f>
        <v>2.5</v>
      </c>
      <c r="AD36" s="102"/>
      <c r="AE36" s="85"/>
      <c r="AF36" s="21"/>
      <c r="AG36" s="23"/>
      <c r="AH36" s="137"/>
      <c r="AI36" s="62">
        <v>6.5</v>
      </c>
      <c r="AJ36" s="62"/>
      <c r="AK36" s="102">
        <v>3</v>
      </c>
      <c r="AL36" s="85"/>
      <c r="AM36" s="21">
        <f>19-16</f>
        <v>3</v>
      </c>
      <c r="AN36" s="23">
        <f>19.5-0.5-16</f>
        <v>3</v>
      </c>
      <c r="AO36" s="137">
        <v>6.5</v>
      </c>
      <c r="AP36" s="62">
        <v>2.5</v>
      </c>
      <c r="AQ36" s="62"/>
      <c r="AR36" s="102">
        <f>20-0.5-13</f>
        <v>6.5</v>
      </c>
      <c r="AS36" s="85">
        <v>1.5</v>
      </c>
      <c r="AT36" s="82">
        <f>20-0.5-16</f>
        <v>3.5</v>
      </c>
      <c r="AU36" s="62">
        <v>2.5</v>
      </c>
      <c r="AV36" s="127"/>
      <c r="AW36" s="187"/>
      <c r="AX36" s="187"/>
      <c r="AY36" s="187"/>
      <c r="AZ36" s="187"/>
      <c r="BA36" s="187"/>
      <c r="BB36" s="187"/>
      <c r="BC36" s="187"/>
      <c r="BD36" s="187"/>
      <c r="BE36" s="189"/>
      <c r="BK36" s="62"/>
    </row>
    <row r="37" spans="2:63" ht="15.95" customHeight="1" thickBot="1">
      <c r="B37" s="193">
        <f>B33+1</f>
        <v>7</v>
      </c>
      <c r="C37" s="68">
        <v>1</v>
      </c>
      <c r="D37" s="177" t="s">
        <v>12</v>
      </c>
      <c r="E37" s="178"/>
      <c r="F37" s="178"/>
      <c r="G37" s="178"/>
      <c r="H37" s="178"/>
      <c r="I37" s="178"/>
      <c r="J37" s="178"/>
      <c r="K37" s="179"/>
      <c r="L37" s="177" t="s">
        <v>11</v>
      </c>
      <c r="M37" s="178"/>
      <c r="N37" s="179"/>
      <c r="O37" s="64" t="s">
        <v>668</v>
      </c>
      <c r="P37" s="59"/>
      <c r="Q37" s="77" t="s">
        <v>751</v>
      </c>
      <c r="R37" s="81" t="s">
        <v>771</v>
      </c>
      <c r="S37" s="81" t="s">
        <v>685</v>
      </c>
      <c r="T37" s="115" t="s">
        <v>689</v>
      </c>
      <c r="U37" s="140" t="s">
        <v>805</v>
      </c>
      <c r="V37" s="115" t="s">
        <v>737</v>
      </c>
      <c r="W37" s="79" t="s">
        <v>681</v>
      </c>
      <c r="X37" s="77" t="s">
        <v>689</v>
      </c>
      <c r="Y37" s="81" t="s">
        <v>794</v>
      </c>
      <c r="Z37" s="81" t="s">
        <v>685</v>
      </c>
      <c r="AA37" s="115" t="s">
        <v>732</v>
      </c>
      <c r="AB37" s="140" t="s">
        <v>734</v>
      </c>
      <c r="AC37" s="115" t="s">
        <v>738</v>
      </c>
      <c r="AD37" s="79" t="s">
        <v>842</v>
      </c>
      <c r="AE37" s="77" t="s">
        <v>771</v>
      </c>
      <c r="AF37" s="81" t="s">
        <v>771</v>
      </c>
      <c r="AG37" s="81" t="s">
        <v>733</v>
      </c>
      <c r="AH37" s="115" t="s">
        <v>681</v>
      </c>
      <c r="AI37" s="140" t="s">
        <v>81</v>
      </c>
      <c r="AJ37" s="115" t="s">
        <v>149</v>
      </c>
      <c r="AK37" s="79" t="s">
        <v>770</v>
      </c>
      <c r="AL37" s="77" t="s">
        <v>737</v>
      </c>
      <c r="AM37" s="81" t="s">
        <v>149</v>
      </c>
      <c r="AN37" s="81" t="s">
        <v>663</v>
      </c>
      <c r="AO37" s="115" t="s">
        <v>1512</v>
      </c>
      <c r="AP37" s="140" t="s">
        <v>770</v>
      </c>
      <c r="AQ37" s="140" t="s">
        <v>734</v>
      </c>
      <c r="AR37" s="79" t="s">
        <v>769</v>
      </c>
      <c r="AS37" s="77" t="s">
        <v>203</v>
      </c>
      <c r="AT37" s="81" t="s">
        <v>737</v>
      </c>
      <c r="AU37" s="115" t="s">
        <v>794</v>
      </c>
      <c r="AV37" s="121"/>
      <c r="AW37" s="186">
        <f>COUNTIF(Q39:AT39,$AW$10)</f>
        <v>21</v>
      </c>
      <c r="AX37" s="186">
        <f>COUNTIF(Q39:AT39,$AX$10)</f>
        <v>7</v>
      </c>
      <c r="AY37" s="186">
        <f>COUNTIF(Q39:AT39,$AY$10)</f>
        <v>2</v>
      </c>
      <c r="AZ37" s="186">
        <f>COUNTIF(Q39:AT39,$AZ$10)</f>
        <v>0</v>
      </c>
      <c r="BA37" s="186">
        <f>COUNTIF(Q39:AT39,$BA$10)</f>
        <v>0</v>
      </c>
      <c r="BB37" s="186">
        <f>COUNTIF(Q39:AT39,$BB$10)</f>
        <v>0</v>
      </c>
      <c r="BC37" s="186">
        <f>COUNTIF(Q39:AT39,$BC$10)</f>
        <v>0</v>
      </c>
      <c r="BD37" s="186">
        <f>COUNTIF(Q39:AT39,$BD$10)</f>
        <v>0</v>
      </c>
      <c r="BE37" s="188">
        <f>SUM(Q40:AT40)</f>
        <v>126</v>
      </c>
      <c r="BK37" s="62"/>
    </row>
    <row r="38" spans="2:63" ht="15.95" customHeight="1">
      <c r="B38" s="194"/>
      <c r="C38" s="69"/>
      <c r="D38" s="180"/>
      <c r="E38" s="181"/>
      <c r="F38" s="181"/>
      <c r="G38" s="181"/>
      <c r="H38" s="181"/>
      <c r="I38" s="181"/>
      <c r="J38" s="181"/>
      <c r="K38" s="182"/>
      <c r="L38" s="180"/>
      <c r="M38" s="181"/>
      <c r="N38" s="182"/>
      <c r="O38" s="65" t="s">
        <v>669</v>
      </c>
      <c r="P38" s="60"/>
      <c r="Q38" s="76" t="s">
        <v>1536</v>
      </c>
      <c r="R38" s="80" t="s">
        <v>861</v>
      </c>
      <c r="S38" s="80" t="s">
        <v>1537</v>
      </c>
      <c r="T38" s="114" t="s">
        <v>1034</v>
      </c>
      <c r="U38" s="141" t="s">
        <v>1538</v>
      </c>
      <c r="V38" s="114" t="s">
        <v>1539</v>
      </c>
      <c r="W38" s="72" t="s">
        <v>1525</v>
      </c>
      <c r="X38" s="76" t="s">
        <v>781</v>
      </c>
      <c r="Y38" s="80"/>
      <c r="Z38" s="80" t="s">
        <v>803</v>
      </c>
      <c r="AA38" s="114" t="s">
        <v>1527</v>
      </c>
      <c r="AB38" s="141" t="s">
        <v>734</v>
      </c>
      <c r="AC38" s="114" t="s">
        <v>1540</v>
      </c>
      <c r="AD38" s="72" t="s">
        <v>1541</v>
      </c>
      <c r="AE38" s="76" t="s">
        <v>831</v>
      </c>
      <c r="AF38" s="80" t="s">
        <v>1542</v>
      </c>
      <c r="AG38" s="80" t="s">
        <v>1543</v>
      </c>
      <c r="AH38" s="114" t="s">
        <v>1544</v>
      </c>
      <c r="AI38" s="141" t="s">
        <v>1545</v>
      </c>
      <c r="AJ38" s="114" t="s">
        <v>854</v>
      </c>
      <c r="AK38" s="72" t="s">
        <v>1525</v>
      </c>
      <c r="AL38" s="76" t="s">
        <v>763</v>
      </c>
      <c r="AM38" s="80" t="s">
        <v>1546</v>
      </c>
      <c r="AN38" s="80">
        <v>1</v>
      </c>
      <c r="AO38" s="114" t="s">
        <v>1534</v>
      </c>
      <c r="AP38" s="141" t="s">
        <v>848</v>
      </c>
      <c r="AQ38" s="141" t="s">
        <v>734</v>
      </c>
      <c r="AR38" s="72" t="s">
        <v>1511</v>
      </c>
      <c r="AS38" s="76" t="s">
        <v>1547</v>
      </c>
      <c r="AT38" s="80" t="s">
        <v>1518</v>
      </c>
      <c r="AU38" s="114" t="s">
        <v>864</v>
      </c>
      <c r="AV38" s="120"/>
      <c r="AW38" s="187"/>
      <c r="AX38" s="187"/>
      <c r="AY38" s="187"/>
      <c r="AZ38" s="187"/>
      <c r="BA38" s="187"/>
      <c r="BB38" s="187"/>
      <c r="BC38" s="187"/>
      <c r="BD38" s="187"/>
      <c r="BE38" s="189"/>
    </row>
    <row r="39" spans="2:63" ht="15.95" customHeight="1">
      <c r="B39" s="194"/>
      <c r="C39" s="69"/>
      <c r="D39" s="180"/>
      <c r="E39" s="181"/>
      <c r="F39" s="181"/>
      <c r="G39" s="181"/>
      <c r="H39" s="181"/>
      <c r="I39" s="181"/>
      <c r="J39" s="181"/>
      <c r="K39" s="182"/>
      <c r="L39" s="180"/>
      <c r="M39" s="181"/>
      <c r="N39" s="182"/>
      <c r="O39" s="65" t="s">
        <v>670</v>
      </c>
      <c r="P39" s="41"/>
      <c r="Q39" s="25" t="s">
        <v>29</v>
      </c>
      <c r="R39" s="22" t="s">
        <v>28</v>
      </c>
      <c r="S39" s="22" t="s">
        <v>28</v>
      </c>
      <c r="T39" s="113" t="s">
        <v>28</v>
      </c>
      <c r="U39" s="113" t="s">
        <v>29</v>
      </c>
      <c r="V39" s="22" t="s">
        <v>29</v>
      </c>
      <c r="W39" s="24" t="s">
        <v>28</v>
      </c>
      <c r="X39" s="25" t="s">
        <v>29</v>
      </c>
      <c r="Y39" s="22" t="s">
        <v>28</v>
      </c>
      <c r="Z39" s="22" t="s">
        <v>28</v>
      </c>
      <c r="AA39" s="113" t="s">
        <v>28</v>
      </c>
      <c r="AB39" s="138" t="s">
        <v>26</v>
      </c>
      <c r="AC39" s="22" t="s">
        <v>28</v>
      </c>
      <c r="AD39" s="24" t="s">
        <v>28</v>
      </c>
      <c r="AE39" s="25" t="s">
        <v>29</v>
      </c>
      <c r="AF39" s="22" t="s">
        <v>28</v>
      </c>
      <c r="AG39" s="22" t="s">
        <v>28</v>
      </c>
      <c r="AH39" s="22" t="s">
        <v>28</v>
      </c>
      <c r="AI39" s="138" t="s">
        <v>28</v>
      </c>
      <c r="AJ39" s="22" t="s">
        <v>28</v>
      </c>
      <c r="AK39" s="24" t="s">
        <v>28</v>
      </c>
      <c r="AL39" s="25" t="s">
        <v>29</v>
      </c>
      <c r="AM39" s="22" t="s">
        <v>28</v>
      </c>
      <c r="AN39" s="22" t="s">
        <v>28</v>
      </c>
      <c r="AO39" s="22" t="s">
        <v>28</v>
      </c>
      <c r="AP39" s="22" t="s">
        <v>28</v>
      </c>
      <c r="AQ39" s="113" t="s">
        <v>26</v>
      </c>
      <c r="AR39" s="24" t="s">
        <v>28</v>
      </c>
      <c r="AS39" s="25" t="s">
        <v>29</v>
      </c>
      <c r="AT39" s="22" t="s">
        <v>28</v>
      </c>
      <c r="AU39" s="113" t="s">
        <v>28</v>
      </c>
      <c r="AV39" s="119"/>
      <c r="AW39" s="187"/>
      <c r="AX39" s="187"/>
      <c r="AY39" s="187"/>
      <c r="AZ39" s="187"/>
      <c r="BA39" s="187"/>
      <c r="BB39" s="187"/>
      <c r="BC39" s="187"/>
      <c r="BD39" s="187"/>
      <c r="BE39" s="189"/>
    </row>
    <row r="40" spans="2:63" ht="15.95" customHeight="1" thickBot="1">
      <c r="B40" s="195"/>
      <c r="C40" s="70"/>
      <c r="D40" s="183"/>
      <c r="E40" s="184"/>
      <c r="F40" s="184"/>
      <c r="G40" s="184"/>
      <c r="H40" s="184"/>
      <c r="I40" s="184"/>
      <c r="J40" s="184"/>
      <c r="K40" s="185"/>
      <c r="L40" s="183"/>
      <c r="M40" s="184"/>
      <c r="N40" s="185"/>
      <c r="O40" s="66" t="s">
        <v>671</v>
      </c>
      <c r="P40" s="61"/>
      <c r="Q40" s="85">
        <v>5</v>
      </c>
      <c r="R40" s="21">
        <f>21.5-0.5-16</f>
        <v>5</v>
      </c>
      <c r="S40" s="23">
        <v>5.5</v>
      </c>
      <c r="T40" s="137">
        <v>4.5</v>
      </c>
      <c r="U40" s="62">
        <f>20.5-0.5-16</f>
        <v>4</v>
      </c>
      <c r="V40" s="62">
        <v>4.5</v>
      </c>
      <c r="W40" s="102">
        <v>7.5</v>
      </c>
      <c r="X40" s="85"/>
      <c r="Y40" s="21">
        <f>22-0.5-16</f>
        <v>5.5</v>
      </c>
      <c r="Z40" s="23">
        <f>21-0.5-16</f>
        <v>4.5</v>
      </c>
      <c r="AA40" s="137">
        <f>20-0.5-16</f>
        <v>3.5</v>
      </c>
      <c r="AB40" s="62"/>
      <c r="AC40" s="62">
        <f>21-0.5-17</f>
        <v>3.5</v>
      </c>
      <c r="AD40" s="102"/>
      <c r="AE40" s="85"/>
      <c r="AF40" s="21">
        <f>19-0.5-16</f>
        <v>2.5</v>
      </c>
      <c r="AG40" s="23">
        <f>22.5-0.5-16</f>
        <v>6</v>
      </c>
      <c r="AH40" s="137">
        <f>23-0.5-16</f>
        <v>6.5</v>
      </c>
      <c r="AI40" s="62">
        <f>23-0.5-16</f>
        <v>6.5</v>
      </c>
      <c r="AJ40" s="62"/>
      <c r="AK40" s="102">
        <f>22-0.5-13</f>
        <v>8.5</v>
      </c>
      <c r="AL40" s="85">
        <f>19-0.5-16</f>
        <v>2.5</v>
      </c>
      <c r="AM40" s="21">
        <f>20-0.5-16</f>
        <v>3.5</v>
      </c>
      <c r="AN40" s="23">
        <f>24-0.5-16</f>
        <v>7.5</v>
      </c>
      <c r="AO40" s="137">
        <f>23-0.5-16</f>
        <v>6.5</v>
      </c>
      <c r="AP40" s="62">
        <v>2.5</v>
      </c>
      <c r="AQ40" s="62"/>
      <c r="AR40" s="102">
        <f>22.5-0.5-13</f>
        <v>9</v>
      </c>
      <c r="AS40" s="85">
        <f>22.5-0.5-16</f>
        <v>6</v>
      </c>
      <c r="AT40" s="82">
        <f>22-0.5-16</f>
        <v>5.5</v>
      </c>
      <c r="AU40" s="62">
        <v>3</v>
      </c>
      <c r="AV40" s="126"/>
      <c r="AW40" s="196"/>
      <c r="AX40" s="196"/>
      <c r="AY40" s="196"/>
      <c r="AZ40" s="196"/>
      <c r="BA40" s="196"/>
      <c r="BB40" s="196"/>
      <c r="BC40" s="196"/>
      <c r="BD40" s="196"/>
      <c r="BE40" s="197"/>
      <c r="BK40" s="82"/>
    </row>
    <row r="41" spans="2:63" ht="15.95" customHeight="1">
      <c r="B41" s="193">
        <f>B37+1</f>
        <v>8</v>
      </c>
      <c r="C41" s="68">
        <v>16</v>
      </c>
      <c r="D41" s="177" t="s">
        <v>9</v>
      </c>
      <c r="E41" s="178"/>
      <c r="F41" s="178"/>
      <c r="G41" s="178"/>
      <c r="H41" s="178"/>
      <c r="I41" s="178"/>
      <c r="J41" s="178"/>
      <c r="K41" s="179"/>
      <c r="L41" s="177" t="s">
        <v>8</v>
      </c>
      <c r="M41" s="178"/>
      <c r="N41" s="179"/>
      <c r="O41" s="64" t="s">
        <v>668</v>
      </c>
      <c r="P41" s="47"/>
      <c r="Q41" s="77" t="s">
        <v>749</v>
      </c>
      <c r="R41" s="81" t="s">
        <v>685</v>
      </c>
      <c r="S41" s="81" t="s">
        <v>681</v>
      </c>
      <c r="T41" s="115" t="s">
        <v>733</v>
      </c>
      <c r="U41" s="140" t="s">
        <v>789</v>
      </c>
      <c r="V41" s="115" t="s">
        <v>203</v>
      </c>
      <c r="W41" s="79" t="s">
        <v>771</v>
      </c>
      <c r="X41" s="77" t="s">
        <v>1468</v>
      </c>
      <c r="Y41" s="81" t="s">
        <v>735</v>
      </c>
      <c r="Z41" s="81" t="s">
        <v>203</v>
      </c>
      <c r="AA41" s="115" t="s">
        <v>737</v>
      </c>
      <c r="AB41" s="140" t="s">
        <v>734</v>
      </c>
      <c r="AC41" s="115" t="s">
        <v>738</v>
      </c>
      <c r="AD41" s="79" t="s">
        <v>734</v>
      </c>
      <c r="AE41" s="77" t="s">
        <v>734</v>
      </c>
      <c r="AF41" s="81" t="s">
        <v>734</v>
      </c>
      <c r="AG41" s="81" t="s">
        <v>769</v>
      </c>
      <c r="AH41" s="115" t="s">
        <v>141</v>
      </c>
      <c r="AI41" s="140" t="s">
        <v>149</v>
      </c>
      <c r="AJ41" s="115" t="s">
        <v>736</v>
      </c>
      <c r="AK41" s="79" t="s">
        <v>1548</v>
      </c>
      <c r="AL41" s="77" t="s">
        <v>833</v>
      </c>
      <c r="AM41" s="81" t="s">
        <v>736</v>
      </c>
      <c r="AN41" s="81" t="s">
        <v>768</v>
      </c>
      <c r="AO41" s="115" t="s">
        <v>1512</v>
      </c>
      <c r="AP41" s="140" t="s">
        <v>732</v>
      </c>
      <c r="AQ41" s="140" t="s">
        <v>734</v>
      </c>
      <c r="AR41" s="79" t="s">
        <v>770</v>
      </c>
      <c r="AS41" s="77" t="s">
        <v>752</v>
      </c>
      <c r="AT41" s="81" t="s">
        <v>353</v>
      </c>
      <c r="AU41" s="115" t="s">
        <v>751</v>
      </c>
      <c r="AV41" s="121"/>
      <c r="AW41" s="186">
        <f>COUNTIF(Q43:AT43,$AW$10)</f>
        <v>20</v>
      </c>
      <c r="AX41" s="186">
        <f>COUNTIF(Q43:AT43,$AX$10)</f>
        <v>5</v>
      </c>
      <c r="AY41" s="186">
        <f>COUNTIF(Q43:AT43,$AY$10)</f>
        <v>3</v>
      </c>
      <c r="AZ41" s="186">
        <f>COUNTIF(Q43:AT43,$AZ$10)</f>
        <v>0</v>
      </c>
      <c r="BA41" s="186">
        <f>COUNTIF(Q43:AT43,$BA$10)</f>
        <v>0</v>
      </c>
      <c r="BB41" s="186">
        <f>COUNTIF(Q43:AT43,$BB$10)</f>
        <v>2</v>
      </c>
      <c r="BC41" s="186">
        <f>COUNTIF(Q43:AT43,$BC$10)</f>
        <v>0</v>
      </c>
      <c r="BD41" s="186">
        <f>COUNTIF(Q43:AT43,$BD$10)</f>
        <v>0</v>
      </c>
      <c r="BE41" s="188">
        <f>SUM(Q44:AT44)</f>
        <v>115.5</v>
      </c>
    </row>
    <row r="42" spans="2:63" ht="15.95" customHeight="1">
      <c r="B42" s="194"/>
      <c r="C42" s="69"/>
      <c r="D42" s="180"/>
      <c r="E42" s="181"/>
      <c r="F42" s="181"/>
      <c r="G42" s="181"/>
      <c r="H42" s="181"/>
      <c r="I42" s="181"/>
      <c r="J42" s="181"/>
      <c r="K42" s="182"/>
      <c r="L42" s="180"/>
      <c r="M42" s="181"/>
      <c r="N42" s="182"/>
      <c r="O42" s="65" t="s">
        <v>669</v>
      </c>
      <c r="P42" s="44"/>
      <c r="Q42" s="76" t="s">
        <v>1506</v>
      </c>
      <c r="R42" s="80" t="s">
        <v>861</v>
      </c>
      <c r="S42" s="80" t="s">
        <v>1549</v>
      </c>
      <c r="T42" s="114" t="s">
        <v>743</v>
      </c>
      <c r="U42" s="141" t="s">
        <v>1550</v>
      </c>
      <c r="V42" s="114" t="s">
        <v>1528</v>
      </c>
      <c r="W42" s="72" t="s">
        <v>1525</v>
      </c>
      <c r="X42" s="76" t="s">
        <v>781</v>
      </c>
      <c r="Y42" s="80" t="s">
        <v>1502</v>
      </c>
      <c r="Z42" s="80" t="s">
        <v>803</v>
      </c>
      <c r="AA42" s="114" t="s">
        <v>1551</v>
      </c>
      <c r="AB42" s="141" t="s">
        <v>734</v>
      </c>
      <c r="AC42" s="114" t="s">
        <v>1552</v>
      </c>
      <c r="AD42" s="72" t="s">
        <v>734</v>
      </c>
      <c r="AE42" s="76" t="s">
        <v>734</v>
      </c>
      <c r="AF42" s="80" t="s">
        <v>734</v>
      </c>
      <c r="AG42" s="80" t="s">
        <v>1553</v>
      </c>
      <c r="AH42" s="114" t="s">
        <v>1518</v>
      </c>
      <c r="AI42" s="141" t="s">
        <v>1545</v>
      </c>
      <c r="AJ42" s="114" t="s">
        <v>1482</v>
      </c>
      <c r="AK42" s="72" t="s">
        <v>1554</v>
      </c>
      <c r="AL42" s="76" t="s">
        <v>1555</v>
      </c>
      <c r="AM42" s="80" t="s">
        <v>1546</v>
      </c>
      <c r="AN42" s="80">
        <v>1</v>
      </c>
      <c r="AO42" s="114" t="s">
        <v>1534</v>
      </c>
      <c r="AP42" s="141" t="s">
        <v>763</v>
      </c>
      <c r="AQ42" s="141" t="s">
        <v>734</v>
      </c>
      <c r="AR42" s="72" t="s">
        <v>1525</v>
      </c>
      <c r="AS42" s="76" t="s">
        <v>1556</v>
      </c>
      <c r="AT42" s="80" t="s">
        <v>1518</v>
      </c>
      <c r="AU42" s="114" t="s">
        <v>864</v>
      </c>
      <c r="AV42" s="120"/>
      <c r="AW42" s="187"/>
      <c r="AX42" s="187"/>
      <c r="AY42" s="187"/>
      <c r="AZ42" s="187"/>
      <c r="BA42" s="187"/>
      <c r="BB42" s="187"/>
      <c r="BC42" s="187"/>
      <c r="BD42" s="187"/>
      <c r="BE42" s="189"/>
    </row>
    <row r="43" spans="2:63" ht="15.95" customHeight="1">
      <c r="B43" s="194"/>
      <c r="C43" s="69"/>
      <c r="D43" s="180"/>
      <c r="E43" s="181"/>
      <c r="F43" s="181"/>
      <c r="G43" s="181"/>
      <c r="H43" s="181"/>
      <c r="I43" s="181"/>
      <c r="J43" s="181"/>
      <c r="K43" s="182"/>
      <c r="L43" s="180"/>
      <c r="M43" s="181"/>
      <c r="N43" s="182"/>
      <c r="O43" s="65" t="s">
        <v>670</v>
      </c>
      <c r="P43" s="44"/>
      <c r="Q43" s="25" t="s">
        <v>29</v>
      </c>
      <c r="R43" s="22" t="s">
        <v>28</v>
      </c>
      <c r="S43" s="22" t="s">
        <v>28</v>
      </c>
      <c r="T43" s="113" t="s">
        <v>28</v>
      </c>
      <c r="U43" s="113" t="s">
        <v>29</v>
      </c>
      <c r="V43" s="22" t="s">
        <v>29</v>
      </c>
      <c r="W43" s="24" t="s">
        <v>28</v>
      </c>
      <c r="X43" s="25" t="s">
        <v>29</v>
      </c>
      <c r="Y43" s="22" t="s">
        <v>28</v>
      </c>
      <c r="Z43" s="22" t="s">
        <v>28</v>
      </c>
      <c r="AA43" s="113" t="s">
        <v>28</v>
      </c>
      <c r="AB43" s="138" t="s">
        <v>26</v>
      </c>
      <c r="AC43" s="22" t="s">
        <v>28</v>
      </c>
      <c r="AD43" s="161" t="s">
        <v>23</v>
      </c>
      <c r="AE43" s="162" t="s">
        <v>26</v>
      </c>
      <c r="AF43" s="160" t="s">
        <v>23</v>
      </c>
      <c r="AG43" s="22" t="s">
        <v>28</v>
      </c>
      <c r="AH43" s="22" t="s">
        <v>28</v>
      </c>
      <c r="AI43" s="22" t="s">
        <v>28</v>
      </c>
      <c r="AJ43" s="22" t="s">
        <v>28</v>
      </c>
      <c r="AK43" s="24" t="s">
        <v>28</v>
      </c>
      <c r="AL43" s="25" t="s">
        <v>29</v>
      </c>
      <c r="AM43" s="22" t="s">
        <v>28</v>
      </c>
      <c r="AN43" s="22" t="s">
        <v>28</v>
      </c>
      <c r="AO43" s="22" t="s">
        <v>28</v>
      </c>
      <c r="AP43" s="22" t="s">
        <v>28</v>
      </c>
      <c r="AQ43" s="113" t="s">
        <v>26</v>
      </c>
      <c r="AR43" s="24" t="s">
        <v>28</v>
      </c>
      <c r="AS43" s="25" t="s">
        <v>28</v>
      </c>
      <c r="AT43" s="22" t="s">
        <v>28</v>
      </c>
      <c r="AU43" s="22" t="s">
        <v>28</v>
      </c>
      <c r="AV43" s="119"/>
      <c r="AW43" s="187"/>
      <c r="AX43" s="187"/>
      <c r="AY43" s="187"/>
      <c r="AZ43" s="187"/>
      <c r="BA43" s="187"/>
      <c r="BB43" s="187"/>
      <c r="BC43" s="187"/>
      <c r="BD43" s="187"/>
      <c r="BE43" s="189"/>
    </row>
    <row r="44" spans="2:63" ht="15.95" customHeight="1" thickBot="1">
      <c r="B44" s="195"/>
      <c r="C44" s="70"/>
      <c r="D44" s="183"/>
      <c r="E44" s="184"/>
      <c r="F44" s="184"/>
      <c r="G44" s="184"/>
      <c r="H44" s="184"/>
      <c r="I44" s="184"/>
      <c r="J44" s="184"/>
      <c r="K44" s="185"/>
      <c r="L44" s="183"/>
      <c r="M44" s="184"/>
      <c r="N44" s="185"/>
      <c r="O44" s="66" t="s">
        <v>671</v>
      </c>
      <c r="P44" s="45"/>
      <c r="Q44" s="85">
        <v>4.5</v>
      </c>
      <c r="R44" s="21">
        <v>5</v>
      </c>
      <c r="S44" s="23">
        <v>5.5</v>
      </c>
      <c r="T44" s="137">
        <v>1.5</v>
      </c>
      <c r="U44" s="62">
        <v>4</v>
      </c>
      <c r="V44" s="62">
        <v>4.5</v>
      </c>
      <c r="W44" s="102">
        <v>7.5</v>
      </c>
      <c r="X44" s="85"/>
      <c r="Y44" s="21">
        <v>5.5</v>
      </c>
      <c r="Z44" s="23">
        <v>4.5</v>
      </c>
      <c r="AA44" s="137">
        <f>21-0.5-16</f>
        <v>4.5</v>
      </c>
      <c r="AB44" s="62"/>
      <c r="AC44" s="62">
        <v>2.5</v>
      </c>
      <c r="AD44" s="102"/>
      <c r="AE44" s="85"/>
      <c r="AF44" s="21"/>
      <c r="AG44" s="23">
        <v>6</v>
      </c>
      <c r="AH44" s="137">
        <f>22-0.5-16</f>
        <v>5.5</v>
      </c>
      <c r="AI44" s="62">
        <v>6.5</v>
      </c>
      <c r="AJ44" s="62"/>
      <c r="AK44" s="102">
        <f>18.5-13</f>
        <v>5.5</v>
      </c>
      <c r="AL44" s="85">
        <v>2</v>
      </c>
      <c r="AM44" s="21">
        <v>3.5</v>
      </c>
      <c r="AN44" s="23">
        <f>24-0.5-16</f>
        <v>7.5</v>
      </c>
      <c r="AO44" s="137">
        <f>23-0.5-16</f>
        <v>6.5</v>
      </c>
      <c r="AP44" s="62">
        <v>2.5</v>
      </c>
      <c r="AQ44" s="62"/>
      <c r="AR44" s="102">
        <f>22-0.5-13</f>
        <v>8.5</v>
      </c>
      <c r="AS44" s="85">
        <v>6</v>
      </c>
      <c r="AT44" s="82">
        <v>6</v>
      </c>
      <c r="AU44" s="62">
        <v>3</v>
      </c>
      <c r="AV44" s="127"/>
      <c r="AW44" s="187"/>
      <c r="AX44" s="187"/>
      <c r="AY44" s="187"/>
      <c r="AZ44" s="187"/>
      <c r="BA44" s="187"/>
      <c r="BB44" s="187"/>
      <c r="BC44" s="187"/>
      <c r="BD44" s="187"/>
      <c r="BE44" s="189"/>
    </row>
    <row r="45" spans="2:63" ht="15.95" customHeight="1">
      <c r="B45" s="193">
        <f>B41+1</f>
        <v>9</v>
      </c>
      <c r="C45" s="68">
        <v>16</v>
      </c>
      <c r="D45" s="177" t="s">
        <v>872</v>
      </c>
      <c r="E45" s="178"/>
      <c r="F45" s="178"/>
      <c r="G45" s="178"/>
      <c r="H45" s="178"/>
      <c r="I45" s="178"/>
      <c r="J45" s="178"/>
      <c r="K45" s="179"/>
      <c r="L45" s="177" t="s">
        <v>729</v>
      </c>
      <c r="M45" s="178"/>
      <c r="N45" s="179"/>
      <c r="O45" s="64" t="s">
        <v>668</v>
      </c>
      <c r="P45" s="47"/>
      <c r="Q45" s="77" t="s">
        <v>734</v>
      </c>
      <c r="R45" s="81" t="s">
        <v>81</v>
      </c>
      <c r="S45" s="81" t="s">
        <v>533</v>
      </c>
      <c r="T45" s="115" t="s">
        <v>754</v>
      </c>
      <c r="U45" s="140" t="s">
        <v>734</v>
      </c>
      <c r="V45" s="115" t="s">
        <v>858</v>
      </c>
      <c r="W45" s="79" t="s">
        <v>856</v>
      </c>
      <c r="X45" s="77" t="s">
        <v>734</v>
      </c>
      <c r="Y45" s="81">
        <v>0.3125</v>
      </c>
      <c r="Z45" s="81" t="s">
        <v>683</v>
      </c>
      <c r="AA45" s="115" t="s">
        <v>734</v>
      </c>
      <c r="AB45" s="140" t="s">
        <v>734</v>
      </c>
      <c r="AC45" s="115" t="s">
        <v>734</v>
      </c>
      <c r="AD45" s="79" t="s">
        <v>734</v>
      </c>
      <c r="AE45" s="77" t="s">
        <v>734</v>
      </c>
      <c r="AF45" s="81" t="s">
        <v>734</v>
      </c>
      <c r="AG45" s="81" t="s">
        <v>734</v>
      </c>
      <c r="AH45" s="115" t="s">
        <v>488</v>
      </c>
      <c r="AI45" s="140" t="s">
        <v>733</v>
      </c>
      <c r="AJ45" s="115" t="s">
        <v>733</v>
      </c>
      <c r="AK45" s="79" t="s">
        <v>771</v>
      </c>
      <c r="AL45" s="77">
        <v>0.33333333333333331</v>
      </c>
      <c r="AM45" s="81" t="s">
        <v>751</v>
      </c>
      <c r="AN45" s="81" t="s">
        <v>663</v>
      </c>
      <c r="AO45" s="115" t="s">
        <v>823</v>
      </c>
      <c r="AP45" s="140" t="s">
        <v>750</v>
      </c>
      <c r="AQ45" s="140" t="s">
        <v>734</v>
      </c>
      <c r="AR45" s="79" t="s">
        <v>533</v>
      </c>
      <c r="AS45" s="77" t="s">
        <v>734</v>
      </c>
      <c r="AT45" s="81" t="s">
        <v>754</v>
      </c>
      <c r="AU45" s="115" t="s">
        <v>833</v>
      </c>
      <c r="AV45" s="121"/>
      <c r="AW45" s="186">
        <f>COUNTIF(Q47:AT47,$AW$10)</f>
        <v>16</v>
      </c>
      <c r="AX45" s="186">
        <f>COUNTIF(Q47:AT47,$AX$10)</f>
        <v>2</v>
      </c>
      <c r="AY45" s="186">
        <f>COUNTIF(Q47:AT47,$AY$10)</f>
        <v>6</v>
      </c>
      <c r="AZ45" s="186">
        <f>COUNTIF(Q47:AT47,$AZ$10)</f>
        <v>1</v>
      </c>
      <c r="BA45" s="186">
        <f>COUNTIF(Q47:AT47,$BA$10)</f>
        <v>0</v>
      </c>
      <c r="BB45" s="186">
        <f>COUNTIF(Q47:AT47,$BB$10)</f>
        <v>5</v>
      </c>
      <c r="BC45" s="186">
        <f>COUNTIF(Q47:AT47,$BC$10)</f>
        <v>0</v>
      </c>
      <c r="BD45" s="186">
        <f>COUNTIF(Q47:AT47,$BD$10)</f>
        <v>0</v>
      </c>
      <c r="BE45" s="188">
        <f>SUM(Q48:AT48)</f>
        <v>3</v>
      </c>
    </row>
    <row r="46" spans="2:63" ht="15.95" customHeight="1">
      <c r="B46" s="194"/>
      <c r="C46" s="69"/>
      <c r="D46" s="180"/>
      <c r="E46" s="181"/>
      <c r="F46" s="181"/>
      <c r="G46" s="181"/>
      <c r="H46" s="181"/>
      <c r="I46" s="181"/>
      <c r="J46" s="181"/>
      <c r="K46" s="182"/>
      <c r="L46" s="180"/>
      <c r="M46" s="181"/>
      <c r="N46" s="182"/>
      <c r="O46" s="65" t="s">
        <v>669</v>
      </c>
      <c r="P46" s="44"/>
      <c r="Q46" s="76" t="s">
        <v>734</v>
      </c>
      <c r="R46" s="80" t="s">
        <v>757</v>
      </c>
      <c r="S46" s="80" t="s">
        <v>759</v>
      </c>
      <c r="T46" s="114" t="s">
        <v>433</v>
      </c>
      <c r="U46" s="141" t="s">
        <v>734</v>
      </c>
      <c r="V46" s="114" t="s">
        <v>819</v>
      </c>
      <c r="W46" s="72" t="s">
        <v>826</v>
      </c>
      <c r="X46" s="76" t="s">
        <v>734</v>
      </c>
      <c r="Y46" s="80" t="s">
        <v>782</v>
      </c>
      <c r="Z46" s="80" t="s">
        <v>788</v>
      </c>
      <c r="AA46" s="114" t="s">
        <v>734</v>
      </c>
      <c r="AB46" s="141" t="s">
        <v>734</v>
      </c>
      <c r="AC46" s="114" t="s">
        <v>734</v>
      </c>
      <c r="AD46" s="72" t="s">
        <v>734</v>
      </c>
      <c r="AE46" s="76" t="s">
        <v>734</v>
      </c>
      <c r="AF46" s="80" t="s">
        <v>734</v>
      </c>
      <c r="AG46" s="80" t="s">
        <v>734</v>
      </c>
      <c r="AH46" s="114" t="s">
        <v>809</v>
      </c>
      <c r="AI46" s="141" t="s">
        <v>797</v>
      </c>
      <c r="AJ46" s="114" t="s">
        <v>802</v>
      </c>
      <c r="AK46" s="72" t="s">
        <v>1557</v>
      </c>
      <c r="AL46" s="76">
        <v>0.75</v>
      </c>
      <c r="AM46" s="80" t="s">
        <v>802</v>
      </c>
      <c r="AN46" s="80" t="s">
        <v>798</v>
      </c>
      <c r="AO46" s="114" t="s">
        <v>1558</v>
      </c>
      <c r="AP46" s="141" t="s">
        <v>742</v>
      </c>
      <c r="AQ46" s="141" t="s">
        <v>734</v>
      </c>
      <c r="AR46" s="72" t="s">
        <v>757</v>
      </c>
      <c r="AS46" s="76" t="s">
        <v>734</v>
      </c>
      <c r="AT46" s="80" t="s">
        <v>758</v>
      </c>
      <c r="AU46" s="114" t="s">
        <v>865</v>
      </c>
      <c r="AV46" s="120"/>
      <c r="AW46" s="187"/>
      <c r="AX46" s="187"/>
      <c r="AY46" s="187"/>
      <c r="AZ46" s="187"/>
      <c r="BA46" s="187"/>
      <c r="BB46" s="187"/>
      <c r="BC46" s="187"/>
      <c r="BD46" s="187"/>
      <c r="BE46" s="189"/>
    </row>
    <row r="47" spans="2:63" ht="15.95" customHeight="1">
      <c r="B47" s="194"/>
      <c r="C47" s="69"/>
      <c r="D47" s="180"/>
      <c r="E47" s="181"/>
      <c r="F47" s="181"/>
      <c r="G47" s="181"/>
      <c r="H47" s="181"/>
      <c r="I47" s="181"/>
      <c r="J47" s="181"/>
      <c r="K47" s="182"/>
      <c r="L47" s="180"/>
      <c r="M47" s="181"/>
      <c r="N47" s="182"/>
      <c r="O47" s="65" t="s">
        <v>670</v>
      </c>
      <c r="P47" s="44"/>
      <c r="Q47" s="25" t="s">
        <v>26</v>
      </c>
      <c r="R47" s="22" t="s">
        <v>28</v>
      </c>
      <c r="S47" s="22" t="s">
        <v>28</v>
      </c>
      <c r="T47" s="113" t="s">
        <v>28</v>
      </c>
      <c r="U47" s="113" t="s">
        <v>30</v>
      </c>
      <c r="V47" s="22" t="s">
        <v>29</v>
      </c>
      <c r="W47" s="24" t="s">
        <v>28</v>
      </c>
      <c r="X47" s="25" t="s">
        <v>26</v>
      </c>
      <c r="Y47" s="22" t="s">
        <v>28</v>
      </c>
      <c r="Z47" s="22" t="s">
        <v>28</v>
      </c>
      <c r="AA47" s="113" t="s">
        <v>23</v>
      </c>
      <c r="AB47" s="138" t="s">
        <v>26</v>
      </c>
      <c r="AC47" s="22" t="s">
        <v>23</v>
      </c>
      <c r="AD47" s="24" t="s">
        <v>23</v>
      </c>
      <c r="AE47" s="25" t="s">
        <v>26</v>
      </c>
      <c r="AF47" s="22" t="s">
        <v>23</v>
      </c>
      <c r="AG47" s="22" t="s">
        <v>23</v>
      </c>
      <c r="AH47" s="113" t="s">
        <v>28</v>
      </c>
      <c r="AI47" s="113" t="s">
        <v>28</v>
      </c>
      <c r="AJ47" s="113" t="s">
        <v>28</v>
      </c>
      <c r="AK47" s="24" t="s">
        <v>28</v>
      </c>
      <c r="AL47" s="25" t="s">
        <v>29</v>
      </c>
      <c r="AM47" s="22" t="s">
        <v>28</v>
      </c>
      <c r="AN47" s="22" t="s">
        <v>28</v>
      </c>
      <c r="AO47" s="22" t="s">
        <v>28</v>
      </c>
      <c r="AP47" s="22" t="s">
        <v>28</v>
      </c>
      <c r="AQ47" s="113" t="s">
        <v>26</v>
      </c>
      <c r="AR47" s="24" t="s">
        <v>28</v>
      </c>
      <c r="AS47" s="25" t="s">
        <v>26</v>
      </c>
      <c r="AT47" s="22" t="s">
        <v>28</v>
      </c>
      <c r="AU47" s="113" t="s">
        <v>28</v>
      </c>
      <c r="AV47" s="119"/>
      <c r="AW47" s="187"/>
      <c r="AX47" s="187"/>
      <c r="AY47" s="187"/>
      <c r="AZ47" s="187"/>
      <c r="BA47" s="187"/>
      <c r="BB47" s="187"/>
      <c r="BC47" s="187"/>
      <c r="BD47" s="187"/>
      <c r="BE47" s="189"/>
    </row>
    <row r="48" spans="2:63" ht="15.95" customHeight="1" thickBot="1">
      <c r="B48" s="195"/>
      <c r="C48" s="70"/>
      <c r="D48" s="183"/>
      <c r="E48" s="184"/>
      <c r="F48" s="184"/>
      <c r="G48" s="184"/>
      <c r="H48" s="184"/>
      <c r="I48" s="184"/>
      <c r="J48" s="184"/>
      <c r="K48" s="185"/>
      <c r="L48" s="183"/>
      <c r="M48" s="184"/>
      <c r="N48" s="185"/>
      <c r="O48" s="66" t="s">
        <v>671</v>
      </c>
      <c r="P48" s="45"/>
      <c r="Q48" s="85"/>
      <c r="R48" s="21"/>
      <c r="S48" s="23"/>
      <c r="T48" s="137"/>
      <c r="U48" s="62"/>
      <c r="V48" s="62"/>
      <c r="W48" s="102"/>
      <c r="X48" s="85"/>
      <c r="Y48" s="21"/>
      <c r="Z48" s="23"/>
      <c r="AA48" s="137"/>
      <c r="AB48" s="62"/>
      <c r="AC48" s="62"/>
      <c r="AD48" s="102"/>
      <c r="AE48" s="85"/>
      <c r="AF48" s="21"/>
      <c r="AG48" s="23"/>
      <c r="AH48" s="137"/>
      <c r="AI48" s="62"/>
      <c r="AJ48" s="62"/>
      <c r="AK48" s="102"/>
      <c r="AL48" s="85"/>
      <c r="AM48" s="21"/>
      <c r="AN48" s="23">
        <f>19.5-0.5-16</f>
        <v>3</v>
      </c>
      <c r="AO48" s="137"/>
      <c r="AP48" s="62"/>
      <c r="AQ48" s="62"/>
      <c r="AR48" s="102"/>
      <c r="AS48" s="85"/>
      <c r="AT48" s="82"/>
      <c r="AU48" s="62"/>
      <c r="AV48" s="128"/>
      <c r="AW48" s="187"/>
      <c r="AX48" s="187"/>
      <c r="AY48" s="187"/>
      <c r="AZ48" s="187"/>
      <c r="BA48" s="187"/>
      <c r="BB48" s="187"/>
      <c r="BC48" s="187"/>
      <c r="BD48" s="187"/>
      <c r="BE48" s="189"/>
    </row>
    <row r="49" spans="2:57" ht="15.95" customHeight="1">
      <c r="B49" s="193">
        <f>B45+1</f>
        <v>10</v>
      </c>
      <c r="C49" s="68">
        <v>16</v>
      </c>
      <c r="D49" s="177" t="s">
        <v>874</v>
      </c>
      <c r="E49" s="178"/>
      <c r="F49" s="178"/>
      <c r="G49" s="178"/>
      <c r="H49" s="178"/>
      <c r="I49" s="178"/>
      <c r="J49" s="178"/>
      <c r="K49" s="179"/>
      <c r="L49" s="177" t="s">
        <v>875</v>
      </c>
      <c r="M49" s="178"/>
      <c r="N49" s="179"/>
      <c r="O49" s="64" t="s">
        <v>668</v>
      </c>
      <c r="P49" s="47"/>
      <c r="Q49" s="77" t="s">
        <v>734</v>
      </c>
      <c r="R49" s="81" t="s">
        <v>732</v>
      </c>
      <c r="S49" s="81" t="s">
        <v>533</v>
      </c>
      <c r="T49" s="115" t="s">
        <v>793</v>
      </c>
      <c r="U49" s="140" t="s">
        <v>734</v>
      </c>
      <c r="V49" s="115" t="s">
        <v>752</v>
      </c>
      <c r="W49" s="79" t="s">
        <v>857</v>
      </c>
      <c r="X49" s="77" t="s">
        <v>734</v>
      </c>
      <c r="Y49" s="81" t="s">
        <v>771</v>
      </c>
      <c r="Z49" s="81" t="s">
        <v>149</v>
      </c>
      <c r="AA49" s="115" t="s">
        <v>753</v>
      </c>
      <c r="AB49" s="140" t="s">
        <v>734</v>
      </c>
      <c r="AC49" s="115" t="s">
        <v>857</v>
      </c>
      <c r="AD49" s="79" t="s">
        <v>681</v>
      </c>
      <c r="AE49" s="77" t="s">
        <v>734</v>
      </c>
      <c r="AF49" s="81" t="s">
        <v>737</v>
      </c>
      <c r="AG49" s="81" t="s">
        <v>681</v>
      </c>
      <c r="AH49" s="115" t="s">
        <v>110</v>
      </c>
      <c r="AI49" s="140" t="s">
        <v>685</v>
      </c>
      <c r="AJ49" s="115" t="s">
        <v>733</v>
      </c>
      <c r="AK49" s="79" t="s">
        <v>732</v>
      </c>
      <c r="AL49" s="77" t="s">
        <v>734</v>
      </c>
      <c r="AM49" s="81" t="s">
        <v>81</v>
      </c>
      <c r="AN49" s="81" t="s">
        <v>663</v>
      </c>
      <c r="AO49" s="115" t="s">
        <v>823</v>
      </c>
      <c r="AP49" s="140" t="s">
        <v>833</v>
      </c>
      <c r="AQ49" s="140" t="s">
        <v>734</v>
      </c>
      <c r="AR49" s="79" t="s">
        <v>533</v>
      </c>
      <c r="AS49" s="77" t="s">
        <v>734</v>
      </c>
      <c r="AT49" s="81" t="s">
        <v>754</v>
      </c>
      <c r="AU49" s="115" t="s">
        <v>792</v>
      </c>
      <c r="AV49" s="121"/>
      <c r="AW49" s="186">
        <f>COUNTIF(Q51:AT51,$AW$10)</f>
        <v>21</v>
      </c>
      <c r="AX49" s="186">
        <f>COUNTIF(Q51:AT51,$AX$10)</f>
        <v>1</v>
      </c>
      <c r="AY49" s="186">
        <f>COUNTIF(Q51:AT51,$AY$10)</f>
        <v>6</v>
      </c>
      <c r="AZ49" s="186">
        <f>COUNTIF(Q51:AT51,$AZ$10)</f>
        <v>1</v>
      </c>
      <c r="BA49" s="186">
        <f>COUNTIF(Q51:AT51,$BA$10)</f>
        <v>0</v>
      </c>
      <c r="BB49" s="186">
        <f>COUNTIF(Q51:AT51,$BB$10)</f>
        <v>0</v>
      </c>
      <c r="BC49" s="186">
        <f>COUNTIF(Q51:AT51,$BC$10)</f>
        <v>0</v>
      </c>
      <c r="BD49" s="186">
        <f>COUNTIF(Q51:AT51,$BD$10)</f>
        <v>0</v>
      </c>
      <c r="BE49" s="188">
        <f>SUM(Q52:AT52)</f>
        <v>3</v>
      </c>
    </row>
    <row r="50" spans="2:57" ht="15.95" customHeight="1">
      <c r="B50" s="194"/>
      <c r="C50" s="69"/>
      <c r="D50" s="180"/>
      <c r="E50" s="181"/>
      <c r="F50" s="181"/>
      <c r="G50" s="181"/>
      <c r="H50" s="181"/>
      <c r="I50" s="181"/>
      <c r="J50" s="181"/>
      <c r="K50" s="182"/>
      <c r="L50" s="180"/>
      <c r="M50" s="181"/>
      <c r="N50" s="182"/>
      <c r="O50" s="65" t="s">
        <v>669</v>
      </c>
      <c r="P50" s="44"/>
      <c r="Q50" s="76" t="s">
        <v>734</v>
      </c>
      <c r="R50" s="80" t="s">
        <v>1559</v>
      </c>
      <c r="S50" s="80" t="s">
        <v>766</v>
      </c>
      <c r="T50" s="114" t="s">
        <v>433</v>
      </c>
      <c r="U50" s="141" t="s">
        <v>734</v>
      </c>
      <c r="V50" s="114" t="s">
        <v>1560</v>
      </c>
      <c r="W50" s="72" t="s">
        <v>744</v>
      </c>
      <c r="X50" s="76" t="s">
        <v>734</v>
      </c>
      <c r="Y50" s="80" t="s">
        <v>782</v>
      </c>
      <c r="Z50" s="80" t="s">
        <v>759</v>
      </c>
      <c r="AA50" s="114" t="s">
        <v>682</v>
      </c>
      <c r="AB50" s="141" t="s">
        <v>734</v>
      </c>
      <c r="AC50" s="114" t="s">
        <v>863</v>
      </c>
      <c r="AD50" s="72" t="s">
        <v>1561</v>
      </c>
      <c r="AE50" s="76" t="s">
        <v>734</v>
      </c>
      <c r="AF50" s="80" t="s">
        <v>810</v>
      </c>
      <c r="AG50" s="80" t="s">
        <v>758</v>
      </c>
      <c r="AH50" s="114" t="s">
        <v>741</v>
      </c>
      <c r="AI50" s="141" t="s">
        <v>821</v>
      </c>
      <c r="AJ50" s="114" t="s">
        <v>802</v>
      </c>
      <c r="AK50" s="72" t="s">
        <v>860</v>
      </c>
      <c r="AL50" s="76" t="s">
        <v>734</v>
      </c>
      <c r="AM50" s="80" t="s">
        <v>761</v>
      </c>
      <c r="AN50" s="80" t="s">
        <v>1479</v>
      </c>
      <c r="AO50" s="114" t="s">
        <v>1533</v>
      </c>
      <c r="AP50" s="141" t="s">
        <v>742</v>
      </c>
      <c r="AQ50" s="141" t="s">
        <v>734</v>
      </c>
      <c r="AR50" s="72" t="s">
        <v>795</v>
      </c>
      <c r="AS50" s="76" t="s">
        <v>734</v>
      </c>
      <c r="AT50" s="80" t="s">
        <v>802</v>
      </c>
      <c r="AU50" s="114" t="s">
        <v>1559</v>
      </c>
      <c r="AV50" s="120"/>
      <c r="AW50" s="187"/>
      <c r="AX50" s="187"/>
      <c r="AY50" s="187"/>
      <c r="AZ50" s="187"/>
      <c r="BA50" s="187"/>
      <c r="BB50" s="187"/>
      <c r="BC50" s="187"/>
      <c r="BD50" s="187"/>
      <c r="BE50" s="189"/>
    </row>
    <row r="51" spans="2:57" ht="15.95" customHeight="1">
      <c r="B51" s="194"/>
      <c r="C51" s="69"/>
      <c r="D51" s="180"/>
      <c r="E51" s="181"/>
      <c r="F51" s="181"/>
      <c r="G51" s="181"/>
      <c r="H51" s="181"/>
      <c r="I51" s="181"/>
      <c r="J51" s="181"/>
      <c r="K51" s="182"/>
      <c r="L51" s="180"/>
      <c r="M51" s="181"/>
      <c r="N51" s="182"/>
      <c r="O51" s="65" t="s">
        <v>670</v>
      </c>
      <c r="P51" s="44"/>
      <c r="Q51" s="25" t="s">
        <v>26</v>
      </c>
      <c r="R51" s="22" t="s">
        <v>28</v>
      </c>
      <c r="S51" s="22" t="s">
        <v>28</v>
      </c>
      <c r="T51" s="113" t="s">
        <v>28</v>
      </c>
      <c r="U51" s="113" t="s">
        <v>30</v>
      </c>
      <c r="V51" s="22" t="s">
        <v>29</v>
      </c>
      <c r="W51" s="24" t="s">
        <v>28</v>
      </c>
      <c r="X51" s="25"/>
      <c r="Y51" s="22" t="s">
        <v>28</v>
      </c>
      <c r="Z51" s="22" t="s">
        <v>28</v>
      </c>
      <c r="AA51" s="113" t="s">
        <v>28</v>
      </c>
      <c r="AB51" s="138" t="s">
        <v>26</v>
      </c>
      <c r="AC51" s="22" t="s">
        <v>28</v>
      </c>
      <c r="AD51" s="24" t="s">
        <v>28</v>
      </c>
      <c r="AE51" s="25" t="s">
        <v>26</v>
      </c>
      <c r="AF51" s="22" t="s">
        <v>28</v>
      </c>
      <c r="AG51" s="22" t="s">
        <v>28</v>
      </c>
      <c r="AH51" s="22" t="s">
        <v>28</v>
      </c>
      <c r="AI51" s="22" t="s">
        <v>28</v>
      </c>
      <c r="AJ51" s="22" t="s">
        <v>28</v>
      </c>
      <c r="AK51" s="24" t="s">
        <v>28</v>
      </c>
      <c r="AL51" s="25" t="s">
        <v>26</v>
      </c>
      <c r="AM51" s="22" t="s">
        <v>28</v>
      </c>
      <c r="AN51" s="22" t="s">
        <v>28</v>
      </c>
      <c r="AO51" s="22" t="s">
        <v>28</v>
      </c>
      <c r="AP51" s="22" t="s">
        <v>28</v>
      </c>
      <c r="AQ51" s="113" t="s">
        <v>26</v>
      </c>
      <c r="AR51" s="24" t="s">
        <v>28</v>
      </c>
      <c r="AS51" s="25" t="s">
        <v>26</v>
      </c>
      <c r="AT51" s="22" t="s">
        <v>28</v>
      </c>
      <c r="AU51" s="113" t="s">
        <v>28</v>
      </c>
      <c r="AV51" s="119"/>
      <c r="AW51" s="187"/>
      <c r="AX51" s="187"/>
      <c r="AY51" s="187"/>
      <c r="AZ51" s="187"/>
      <c r="BA51" s="187"/>
      <c r="BB51" s="187"/>
      <c r="BC51" s="187"/>
      <c r="BD51" s="187"/>
      <c r="BE51" s="189"/>
    </row>
    <row r="52" spans="2:57" ht="15.95" customHeight="1" thickBot="1">
      <c r="B52" s="195"/>
      <c r="C52" s="70"/>
      <c r="D52" s="183"/>
      <c r="E52" s="184"/>
      <c r="F52" s="184"/>
      <c r="G52" s="184"/>
      <c r="H52" s="184"/>
      <c r="I52" s="184"/>
      <c r="J52" s="184"/>
      <c r="K52" s="185"/>
      <c r="L52" s="183"/>
      <c r="M52" s="184"/>
      <c r="N52" s="185"/>
      <c r="O52" s="66" t="s">
        <v>671</v>
      </c>
      <c r="P52" s="45"/>
      <c r="Q52" s="85"/>
      <c r="R52" s="21"/>
      <c r="S52" s="23"/>
      <c r="T52" s="137"/>
      <c r="U52" s="62"/>
      <c r="V52" s="62"/>
      <c r="W52" s="102"/>
      <c r="X52" s="85"/>
      <c r="Y52" s="21"/>
      <c r="Z52" s="23"/>
      <c r="AA52" s="137"/>
      <c r="AB52" s="62"/>
      <c r="AC52" s="62"/>
      <c r="AD52" s="102"/>
      <c r="AE52" s="85"/>
      <c r="AF52" s="21"/>
      <c r="AG52" s="23"/>
      <c r="AH52" s="137"/>
      <c r="AI52" s="62"/>
      <c r="AJ52" s="62"/>
      <c r="AK52" s="102"/>
      <c r="AL52" s="85"/>
      <c r="AM52" s="21"/>
      <c r="AN52" s="23">
        <f>19-16</f>
        <v>3</v>
      </c>
      <c r="AO52" s="137"/>
      <c r="AP52" s="62"/>
      <c r="AQ52" s="62"/>
      <c r="AR52" s="102"/>
      <c r="AS52" s="85"/>
      <c r="AT52" s="82"/>
      <c r="AU52" s="62">
        <v>2</v>
      </c>
      <c r="AV52" s="128"/>
      <c r="AW52" s="187"/>
      <c r="AX52" s="187"/>
      <c r="AY52" s="187"/>
      <c r="AZ52" s="187"/>
      <c r="BA52" s="187"/>
      <c r="BB52" s="187"/>
      <c r="BC52" s="187"/>
      <c r="BD52" s="187"/>
      <c r="BE52" s="189"/>
    </row>
    <row r="53" spans="2:57" ht="15.95" customHeight="1">
      <c r="B53" s="193">
        <f>B45+1</f>
        <v>10</v>
      </c>
      <c r="C53" s="68">
        <v>16</v>
      </c>
      <c r="D53" s="177" t="s">
        <v>873</v>
      </c>
      <c r="E53" s="178"/>
      <c r="F53" s="178"/>
      <c r="G53" s="178"/>
      <c r="H53" s="178"/>
      <c r="I53" s="178"/>
      <c r="J53" s="178"/>
      <c r="K53" s="179"/>
      <c r="L53" s="177" t="s">
        <v>870</v>
      </c>
      <c r="M53" s="178"/>
      <c r="N53" s="179"/>
      <c r="O53" s="64" t="s">
        <v>668</v>
      </c>
      <c r="P53" s="47"/>
      <c r="Q53" s="77" t="s">
        <v>734</v>
      </c>
      <c r="R53" s="81" t="s">
        <v>738</v>
      </c>
      <c r="S53" s="81" t="s">
        <v>663</v>
      </c>
      <c r="T53" s="115" t="s">
        <v>769</v>
      </c>
      <c r="U53" s="140" t="s">
        <v>857</v>
      </c>
      <c r="V53" s="115" t="s">
        <v>689</v>
      </c>
      <c r="W53" s="79" t="s">
        <v>685</v>
      </c>
      <c r="X53" s="77" t="s">
        <v>751</v>
      </c>
      <c r="Y53" s="81" t="s">
        <v>683</v>
      </c>
      <c r="Z53" s="81" t="s">
        <v>681</v>
      </c>
      <c r="AA53" s="115" t="s">
        <v>734</v>
      </c>
      <c r="AB53" s="140" t="s">
        <v>734</v>
      </c>
      <c r="AC53" s="115" t="s">
        <v>771</v>
      </c>
      <c r="AD53" s="79" t="s">
        <v>81</v>
      </c>
      <c r="AE53" s="77" t="s">
        <v>734</v>
      </c>
      <c r="AF53" s="81" t="s">
        <v>768</v>
      </c>
      <c r="AG53" s="81" t="s">
        <v>149</v>
      </c>
      <c r="AH53" s="115" t="s">
        <v>685</v>
      </c>
      <c r="AI53" s="140" t="s">
        <v>663</v>
      </c>
      <c r="AJ53" s="115" t="s">
        <v>794</v>
      </c>
      <c r="AK53" s="79" t="s">
        <v>685</v>
      </c>
      <c r="AL53" s="77" t="s">
        <v>734</v>
      </c>
      <c r="AM53" s="81" t="s">
        <v>734</v>
      </c>
      <c r="AN53" s="81" t="s">
        <v>805</v>
      </c>
      <c r="AO53" s="115" t="s">
        <v>221</v>
      </c>
      <c r="AP53" s="140" t="s">
        <v>751</v>
      </c>
      <c r="AQ53" s="140" t="s">
        <v>734</v>
      </c>
      <c r="AR53" s="79" t="s">
        <v>283</v>
      </c>
      <c r="AS53" s="77" t="s">
        <v>734</v>
      </c>
      <c r="AT53" s="81" t="s">
        <v>768</v>
      </c>
      <c r="AU53" s="115" t="s">
        <v>732</v>
      </c>
      <c r="AV53" s="121"/>
      <c r="AW53" s="186">
        <f>COUNTIF(Q55:AT55,$AW$10)</f>
        <v>19</v>
      </c>
      <c r="AX53" s="186">
        <f>COUNTIF(Q55:AT55,$AX$10)</f>
        <v>3</v>
      </c>
      <c r="AY53" s="186">
        <f>COUNTIF(Q55:AT55,$AY$10)</f>
        <v>6</v>
      </c>
      <c r="AZ53" s="186">
        <f>COUNTIF(Q55:AT55,$AZ$10)</f>
        <v>0</v>
      </c>
      <c r="BA53" s="186">
        <f>COUNTIF(Q55:AT55,$BA$10)</f>
        <v>0</v>
      </c>
      <c r="BB53" s="186">
        <f>COUNTIF(Q55:AT55,$BB$10)</f>
        <v>2</v>
      </c>
      <c r="BC53" s="186">
        <f>COUNTIF(Q55:AT55,$BC$10)</f>
        <v>0</v>
      </c>
      <c r="BD53" s="186">
        <f>COUNTIF(Q55:AT55,$BD$10)</f>
        <v>0</v>
      </c>
      <c r="BE53" s="188">
        <f>SUM(Q56:AT56)</f>
        <v>60.5</v>
      </c>
    </row>
    <row r="54" spans="2:57" ht="15.95" customHeight="1">
      <c r="B54" s="194"/>
      <c r="C54" s="69"/>
      <c r="D54" s="180"/>
      <c r="E54" s="181"/>
      <c r="F54" s="181"/>
      <c r="G54" s="181"/>
      <c r="H54" s="181"/>
      <c r="I54" s="181"/>
      <c r="J54" s="181"/>
      <c r="K54" s="182"/>
      <c r="L54" s="180"/>
      <c r="M54" s="181"/>
      <c r="N54" s="182"/>
      <c r="O54" s="65" t="s">
        <v>669</v>
      </c>
      <c r="P54" s="44"/>
      <c r="Q54" s="76" t="s">
        <v>734</v>
      </c>
      <c r="R54" s="80" t="s">
        <v>1516</v>
      </c>
      <c r="S54" s="80" t="s">
        <v>1562</v>
      </c>
      <c r="T54" s="114" t="s">
        <v>1563</v>
      </c>
      <c r="U54" s="141" t="s">
        <v>1471</v>
      </c>
      <c r="V54" s="114" t="s">
        <v>869</v>
      </c>
      <c r="W54" s="72" t="s">
        <v>1564</v>
      </c>
      <c r="X54" s="76" t="s">
        <v>827</v>
      </c>
      <c r="Y54" s="80" t="s">
        <v>1565</v>
      </c>
      <c r="Z54" s="80" t="s">
        <v>1566</v>
      </c>
      <c r="AA54" s="114" t="s">
        <v>734</v>
      </c>
      <c r="AB54" s="141" t="s">
        <v>734</v>
      </c>
      <c r="AC54" s="114" t="s">
        <v>844</v>
      </c>
      <c r="AD54" s="72" t="s">
        <v>1567</v>
      </c>
      <c r="AE54" s="76" t="s">
        <v>734</v>
      </c>
      <c r="AF54" s="80" t="s">
        <v>854</v>
      </c>
      <c r="AG54" s="80" t="s">
        <v>1543</v>
      </c>
      <c r="AH54" s="114" t="s">
        <v>1568</v>
      </c>
      <c r="AI54" s="141" t="s">
        <v>801</v>
      </c>
      <c r="AJ54" s="114" t="s">
        <v>1569</v>
      </c>
      <c r="AK54" s="72" t="s">
        <v>832</v>
      </c>
      <c r="AL54" s="76" t="s">
        <v>734</v>
      </c>
      <c r="AM54" s="80" t="s">
        <v>734</v>
      </c>
      <c r="AN54" s="80" t="s">
        <v>1570</v>
      </c>
      <c r="AO54" s="114" t="s">
        <v>1542</v>
      </c>
      <c r="AP54" s="141" t="s">
        <v>739</v>
      </c>
      <c r="AQ54" s="141" t="s">
        <v>734</v>
      </c>
      <c r="AR54" s="72" t="s">
        <v>825</v>
      </c>
      <c r="AS54" s="76" t="s">
        <v>734</v>
      </c>
      <c r="AT54" s="80" t="s">
        <v>1571</v>
      </c>
      <c r="AU54" s="114" t="s">
        <v>820</v>
      </c>
      <c r="AV54" s="120"/>
      <c r="AW54" s="187"/>
      <c r="AX54" s="187"/>
      <c r="AY54" s="187"/>
      <c r="AZ54" s="187"/>
      <c r="BA54" s="187"/>
      <c r="BB54" s="187"/>
      <c r="BC54" s="187"/>
      <c r="BD54" s="187"/>
      <c r="BE54" s="189"/>
    </row>
    <row r="55" spans="2:57" ht="15.95" customHeight="1">
      <c r="B55" s="194"/>
      <c r="C55" s="69"/>
      <c r="D55" s="180"/>
      <c r="E55" s="181"/>
      <c r="F55" s="181"/>
      <c r="G55" s="181"/>
      <c r="H55" s="181"/>
      <c r="I55" s="181"/>
      <c r="J55" s="181"/>
      <c r="K55" s="182"/>
      <c r="L55" s="180"/>
      <c r="M55" s="181"/>
      <c r="N55" s="182"/>
      <c r="O55" s="65" t="s">
        <v>670</v>
      </c>
      <c r="P55" s="44"/>
      <c r="Q55" s="25" t="s">
        <v>26</v>
      </c>
      <c r="R55" s="22" t="s">
        <v>28</v>
      </c>
      <c r="S55" s="22" t="s">
        <v>28</v>
      </c>
      <c r="T55" s="113" t="s">
        <v>28</v>
      </c>
      <c r="U55" s="113" t="s">
        <v>29</v>
      </c>
      <c r="V55" s="22" t="s">
        <v>29</v>
      </c>
      <c r="W55" s="24" t="s">
        <v>28</v>
      </c>
      <c r="X55" s="25" t="s">
        <v>29</v>
      </c>
      <c r="Y55" s="22" t="s">
        <v>28</v>
      </c>
      <c r="Z55" s="22" t="s">
        <v>28</v>
      </c>
      <c r="AA55" s="113" t="s">
        <v>23</v>
      </c>
      <c r="AB55" s="138" t="s">
        <v>26</v>
      </c>
      <c r="AC55" s="22" t="s">
        <v>28</v>
      </c>
      <c r="AD55" s="24" t="s">
        <v>28</v>
      </c>
      <c r="AE55" s="25" t="s">
        <v>26</v>
      </c>
      <c r="AF55" s="22" t="s">
        <v>28</v>
      </c>
      <c r="AG55" s="22" t="s">
        <v>28</v>
      </c>
      <c r="AH55" s="22" t="s">
        <v>28</v>
      </c>
      <c r="AI55" s="22" t="s">
        <v>28</v>
      </c>
      <c r="AJ55" s="22" t="s">
        <v>28</v>
      </c>
      <c r="AK55" s="24" t="s">
        <v>28</v>
      </c>
      <c r="AL55" s="25" t="s">
        <v>26</v>
      </c>
      <c r="AM55" s="22" t="s">
        <v>23</v>
      </c>
      <c r="AN55" s="22" t="s">
        <v>28</v>
      </c>
      <c r="AO55" s="22" t="s">
        <v>28</v>
      </c>
      <c r="AP55" s="22" t="s">
        <v>28</v>
      </c>
      <c r="AQ55" s="113" t="s">
        <v>26</v>
      </c>
      <c r="AR55" s="24" t="s">
        <v>28</v>
      </c>
      <c r="AS55" s="25" t="s">
        <v>26</v>
      </c>
      <c r="AT55" s="22" t="s">
        <v>28</v>
      </c>
      <c r="AU55" s="22" t="s">
        <v>28</v>
      </c>
      <c r="AV55" s="119"/>
      <c r="AW55" s="187"/>
      <c r="AX55" s="187"/>
      <c r="AY55" s="187"/>
      <c r="AZ55" s="187"/>
      <c r="BA55" s="187"/>
      <c r="BB55" s="187"/>
      <c r="BC55" s="187"/>
      <c r="BD55" s="187"/>
      <c r="BE55" s="189"/>
    </row>
    <row r="56" spans="2:57" ht="15.95" customHeight="1" thickBot="1">
      <c r="B56" s="195"/>
      <c r="C56" s="70"/>
      <c r="D56" s="183"/>
      <c r="E56" s="184"/>
      <c r="F56" s="184"/>
      <c r="G56" s="184"/>
      <c r="H56" s="184"/>
      <c r="I56" s="184"/>
      <c r="J56" s="184"/>
      <c r="K56" s="185"/>
      <c r="L56" s="183"/>
      <c r="M56" s="184"/>
      <c r="N56" s="185"/>
      <c r="O56" s="66" t="s">
        <v>671</v>
      </c>
      <c r="P56" s="45"/>
      <c r="Q56" s="85"/>
      <c r="R56" s="21">
        <v>4.5</v>
      </c>
      <c r="S56" s="23">
        <v>5.5</v>
      </c>
      <c r="T56" s="137">
        <v>4.5</v>
      </c>
      <c r="U56" s="62">
        <v>2</v>
      </c>
      <c r="V56" s="62"/>
      <c r="W56" s="144">
        <f>19.5-0.5-14</f>
        <v>5</v>
      </c>
      <c r="X56" s="85"/>
      <c r="Y56" s="21">
        <f>21-0.5-16</f>
        <v>4.5</v>
      </c>
      <c r="Z56" s="23">
        <f>21-0.5-16</f>
        <v>4.5</v>
      </c>
      <c r="AA56" s="137"/>
      <c r="AB56" s="62"/>
      <c r="AC56" s="62"/>
      <c r="AD56" s="102"/>
      <c r="AE56" s="85"/>
      <c r="AF56" s="21"/>
      <c r="AG56" s="23">
        <v>6</v>
      </c>
      <c r="AH56" s="137">
        <f>23-0.5-16</f>
        <v>6.5</v>
      </c>
      <c r="AI56" s="62">
        <f>21-0.5-16</f>
        <v>4.5</v>
      </c>
      <c r="AJ56" s="62"/>
      <c r="AK56" s="102">
        <f>15.5-13</f>
        <v>2.5</v>
      </c>
      <c r="AL56" s="85"/>
      <c r="AM56" s="21"/>
      <c r="AN56" s="23">
        <f>19.5-0.5-16</f>
        <v>3</v>
      </c>
      <c r="AO56" s="137">
        <f>19-0.5-16</f>
        <v>2.5</v>
      </c>
      <c r="AP56" s="62">
        <v>2</v>
      </c>
      <c r="AQ56" s="62"/>
      <c r="AR56" s="102"/>
      <c r="AS56" s="85"/>
      <c r="AT56" s="82">
        <f>19.5-0.5-16</f>
        <v>3</v>
      </c>
      <c r="AU56" s="62">
        <f>20-0.5-16</f>
        <v>3.5</v>
      </c>
      <c r="AV56" s="128"/>
      <c r="AW56" s="187"/>
      <c r="AX56" s="187"/>
      <c r="AY56" s="187"/>
      <c r="AZ56" s="187"/>
      <c r="BA56" s="187"/>
      <c r="BB56" s="187"/>
      <c r="BC56" s="187"/>
      <c r="BD56" s="187"/>
      <c r="BE56" s="189"/>
    </row>
    <row r="57" spans="2:57" ht="15.95" customHeight="1">
      <c r="B57" s="193">
        <f>B53+1</f>
        <v>11</v>
      </c>
      <c r="C57" s="68">
        <v>16</v>
      </c>
      <c r="D57" s="177" t="s">
        <v>728</v>
      </c>
      <c r="E57" s="178"/>
      <c r="F57" s="178"/>
      <c r="G57" s="178"/>
      <c r="H57" s="178"/>
      <c r="I57" s="178"/>
      <c r="J57" s="178"/>
      <c r="K57" s="179"/>
      <c r="L57" s="177" t="s">
        <v>867</v>
      </c>
      <c r="M57" s="178"/>
      <c r="N57" s="179"/>
      <c r="O57" s="64" t="s">
        <v>668</v>
      </c>
      <c r="P57" s="47"/>
      <c r="Q57" s="77" t="s">
        <v>751</v>
      </c>
      <c r="R57" s="81" t="s">
        <v>738</v>
      </c>
      <c r="S57" s="81" t="s">
        <v>663</v>
      </c>
      <c r="T57" s="115" t="s">
        <v>769</v>
      </c>
      <c r="U57" s="140" t="s">
        <v>1468</v>
      </c>
      <c r="V57" s="115" t="s">
        <v>81</v>
      </c>
      <c r="W57" s="79" t="s">
        <v>769</v>
      </c>
      <c r="X57" s="77" t="s">
        <v>868</v>
      </c>
      <c r="Y57" s="81" t="s">
        <v>683</v>
      </c>
      <c r="Z57" s="81" t="s">
        <v>1572</v>
      </c>
      <c r="AA57" s="115" t="s">
        <v>840</v>
      </c>
      <c r="AB57" s="140" t="s">
        <v>734</v>
      </c>
      <c r="AC57" s="115" t="s">
        <v>850</v>
      </c>
      <c r="AD57" s="79" t="s">
        <v>84</v>
      </c>
      <c r="AE57" s="77" t="s">
        <v>789</v>
      </c>
      <c r="AF57" s="81" t="s">
        <v>149</v>
      </c>
      <c r="AG57" s="81" t="s">
        <v>672</v>
      </c>
      <c r="AH57" s="115" t="s">
        <v>733</v>
      </c>
      <c r="AI57" s="140" t="s">
        <v>733</v>
      </c>
      <c r="AJ57" s="115" t="s">
        <v>1528</v>
      </c>
      <c r="AK57" s="79" t="s">
        <v>791</v>
      </c>
      <c r="AL57" s="77" t="s">
        <v>83</v>
      </c>
      <c r="AM57" s="81" t="s">
        <v>794</v>
      </c>
      <c r="AN57" s="81" t="s">
        <v>81</v>
      </c>
      <c r="AO57" s="115" t="s">
        <v>1512</v>
      </c>
      <c r="AP57" s="140" t="s">
        <v>792</v>
      </c>
      <c r="AQ57" s="140" t="s">
        <v>734</v>
      </c>
      <c r="AR57" s="79" t="s">
        <v>683</v>
      </c>
      <c r="AS57" s="77" t="s">
        <v>1526</v>
      </c>
      <c r="AT57" s="81" t="s">
        <v>749</v>
      </c>
      <c r="AU57" s="115" t="s">
        <v>110</v>
      </c>
      <c r="AV57" s="121"/>
      <c r="AW57" s="186">
        <f>COUNTIF(Q59:AT59,$AW$10)</f>
        <v>21</v>
      </c>
      <c r="AX57" s="186">
        <f>COUNTIF(Q59:AT59,$AX$10)</f>
        <v>7</v>
      </c>
      <c r="AY57" s="186">
        <f>COUNTIF(Q59:AT59,$AY$10)</f>
        <v>2</v>
      </c>
      <c r="AZ57" s="186">
        <f>COUNTIF(Q59:AT59,$AZ$10)</f>
        <v>0</v>
      </c>
      <c r="BA57" s="186">
        <f>COUNTIF(Q59:AT59,$BA$10)</f>
        <v>0</v>
      </c>
      <c r="BB57" s="186">
        <f>COUNTIF(Q59:AT59,$BB$10)</f>
        <v>0</v>
      </c>
      <c r="BC57" s="186">
        <f>COUNTIF(Q59:AT59,$BC$10)</f>
        <v>0</v>
      </c>
      <c r="BD57" s="186">
        <f>COUNTIF(Q59:AT59,$BD$10)</f>
        <v>0</v>
      </c>
      <c r="BE57" s="188">
        <f>SUM(Q60:AT60)</f>
        <v>112.5</v>
      </c>
    </row>
    <row r="58" spans="2:57" ht="15.95" customHeight="1">
      <c r="B58" s="194"/>
      <c r="C58" s="69"/>
      <c r="D58" s="180"/>
      <c r="E58" s="181"/>
      <c r="F58" s="181"/>
      <c r="G58" s="181"/>
      <c r="H58" s="181"/>
      <c r="I58" s="181"/>
      <c r="J58" s="181"/>
      <c r="K58" s="182"/>
      <c r="L58" s="180"/>
      <c r="M58" s="181"/>
      <c r="N58" s="182"/>
      <c r="O58" s="65" t="s">
        <v>669</v>
      </c>
      <c r="P58" s="44"/>
      <c r="Q58" s="76" t="s">
        <v>786</v>
      </c>
      <c r="R58" s="80" t="s">
        <v>1563</v>
      </c>
      <c r="S58" s="80" t="s">
        <v>1562</v>
      </c>
      <c r="T58" s="114" t="s">
        <v>1034</v>
      </c>
      <c r="U58" s="141" t="s">
        <v>763</v>
      </c>
      <c r="V58" s="114" t="s">
        <v>1518</v>
      </c>
      <c r="W58" s="72" t="s">
        <v>1518</v>
      </c>
      <c r="X58" s="76" t="s">
        <v>827</v>
      </c>
      <c r="Y58" s="80" t="s">
        <v>1502</v>
      </c>
      <c r="Z58" s="80" t="s">
        <v>1573</v>
      </c>
      <c r="AA58" s="114" t="s">
        <v>739</v>
      </c>
      <c r="AB58" s="141" t="s">
        <v>734</v>
      </c>
      <c r="AC58" s="114" t="s">
        <v>1574</v>
      </c>
      <c r="AD58" s="72" t="s">
        <v>1519</v>
      </c>
      <c r="AE58" s="76" t="s">
        <v>682</v>
      </c>
      <c r="AF58" s="80" t="s">
        <v>862</v>
      </c>
      <c r="AG58" s="80" t="s">
        <v>1553</v>
      </c>
      <c r="AH58" s="114" t="s">
        <v>1534</v>
      </c>
      <c r="AI58" s="141">
        <v>0.8305555555555556</v>
      </c>
      <c r="AJ58" s="114" t="s">
        <v>1511</v>
      </c>
      <c r="AK58" s="72" t="s">
        <v>772</v>
      </c>
      <c r="AL58" s="76" t="s">
        <v>844</v>
      </c>
      <c r="AM58" s="80" t="s">
        <v>1575</v>
      </c>
      <c r="AN58" s="80">
        <v>1</v>
      </c>
      <c r="AO58" s="114" t="s">
        <v>1534</v>
      </c>
      <c r="AP58" s="141" t="s">
        <v>1524</v>
      </c>
      <c r="AQ58" s="141" t="s">
        <v>734</v>
      </c>
      <c r="AR58" s="72" t="s">
        <v>785</v>
      </c>
      <c r="AS58" s="76" t="s">
        <v>1556</v>
      </c>
      <c r="AT58" s="80" t="s">
        <v>1518</v>
      </c>
      <c r="AU58" s="114" t="s">
        <v>864</v>
      </c>
      <c r="AV58" s="120"/>
      <c r="AW58" s="187"/>
      <c r="AX58" s="187"/>
      <c r="AY58" s="187"/>
      <c r="AZ58" s="187"/>
      <c r="BA58" s="187"/>
      <c r="BB58" s="187"/>
      <c r="BC58" s="187"/>
      <c r="BD58" s="187"/>
      <c r="BE58" s="189"/>
    </row>
    <row r="59" spans="2:57" ht="15.95" customHeight="1">
      <c r="B59" s="194"/>
      <c r="C59" s="69"/>
      <c r="D59" s="180"/>
      <c r="E59" s="181"/>
      <c r="F59" s="181"/>
      <c r="G59" s="181"/>
      <c r="H59" s="181"/>
      <c r="I59" s="181"/>
      <c r="J59" s="181"/>
      <c r="K59" s="182"/>
      <c r="L59" s="180"/>
      <c r="M59" s="181"/>
      <c r="N59" s="182"/>
      <c r="O59" s="65" t="s">
        <v>670</v>
      </c>
      <c r="P59" s="44"/>
      <c r="Q59" s="25" t="s">
        <v>29</v>
      </c>
      <c r="R59" s="22" t="s">
        <v>28</v>
      </c>
      <c r="S59" s="22" t="s">
        <v>28</v>
      </c>
      <c r="T59" s="113" t="s">
        <v>28</v>
      </c>
      <c r="U59" s="113" t="s">
        <v>29</v>
      </c>
      <c r="V59" s="22" t="s">
        <v>29</v>
      </c>
      <c r="W59" s="24" t="s">
        <v>28</v>
      </c>
      <c r="X59" s="25" t="s">
        <v>29</v>
      </c>
      <c r="Y59" s="22" t="s">
        <v>28</v>
      </c>
      <c r="Z59" s="22" t="s">
        <v>28</v>
      </c>
      <c r="AA59" s="113" t="s">
        <v>28</v>
      </c>
      <c r="AB59" s="138" t="s">
        <v>26</v>
      </c>
      <c r="AC59" s="22" t="s">
        <v>28</v>
      </c>
      <c r="AD59" s="24" t="s">
        <v>28</v>
      </c>
      <c r="AE59" s="25" t="s">
        <v>29</v>
      </c>
      <c r="AF59" s="22" t="s">
        <v>28</v>
      </c>
      <c r="AG59" s="22" t="s">
        <v>28</v>
      </c>
      <c r="AH59" s="22" t="s">
        <v>28</v>
      </c>
      <c r="AI59" s="22" t="s">
        <v>28</v>
      </c>
      <c r="AJ59" s="22" t="s">
        <v>28</v>
      </c>
      <c r="AK59" s="24" t="s">
        <v>28</v>
      </c>
      <c r="AL59" s="25" t="s">
        <v>29</v>
      </c>
      <c r="AM59" s="22" t="s">
        <v>28</v>
      </c>
      <c r="AN59" s="22" t="s">
        <v>28</v>
      </c>
      <c r="AO59" s="22" t="s">
        <v>28</v>
      </c>
      <c r="AP59" s="22" t="s">
        <v>28</v>
      </c>
      <c r="AQ59" s="113" t="s">
        <v>26</v>
      </c>
      <c r="AR59" s="24" t="s">
        <v>28</v>
      </c>
      <c r="AS59" s="25" t="s">
        <v>29</v>
      </c>
      <c r="AT59" s="22" t="s">
        <v>28</v>
      </c>
      <c r="AU59" s="22" t="s">
        <v>28</v>
      </c>
      <c r="AV59" s="120"/>
      <c r="AW59" s="187"/>
      <c r="AX59" s="187"/>
      <c r="AY59" s="187"/>
      <c r="AZ59" s="187"/>
      <c r="BA59" s="187"/>
      <c r="BB59" s="187"/>
      <c r="BC59" s="187"/>
      <c r="BD59" s="187"/>
      <c r="BE59" s="189"/>
    </row>
    <row r="60" spans="2:57" ht="15.95" customHeight="1" thickBot="1">
      <c r="B60" s="195"/>
      <c r="C60" s="70"/>
      <c r="D60" s="183"/>
      <c r="E60" s="184"/>
      <c r="F60" s="184"/>
      <c r="G60" s="184"/>
      <c r="H60" s="184"/>
      <c r="I60" s="184"/>
      <c r="J60" s="184"/>
      <c r="K60" s="185"/>
      <c r="L60" s="183"/>
      <c r="M60" s="184"/>
      <c r="N60" s="185"/>
      <c r="O60" s="66" t="s">
        <v>671</v>
      </c>
      <c r="P60" s="45"/>
      <c r="Q60" s="85">
        <v>5</v>
      </c>
      <c r="R60" s="21">
        <v>4.5</v>
      </c>
      <c r="S60" s="23">
        <v>5.5</v>
      </c>
      <c r="T60" s="137">
        <f>21-0.5-16</f>
        <v>4.5</v>
      </c>
      <c r="U60" s="62">
        <f>19-0.5-16</f>
        <v>2.5</v>
      </c>
      <c r="V60" s="62">
        <v>4.5</v>
      </c>
      <c r="W60" s="102">
        <f>22-14-0.5</f>
        <v>7.5</v>
      </c>
      <c r="X60" s="85"/>
      <c r="Y60" s="21">
        <f>22-0.5-16</f>
        <v>5.5</v>
      </c>
      <c r="Z60" s="23">
        <v>4.5</v>
      </c>
      <c r="AA60" s="137"/>
      <c r="AB60" s="62"/>
      <c r="AC60" s="62">
        <f>21-0.5-17</f>
        <v>3.5</v>
      </c>
      <c r="AD60" s="102"/>
      <c r="AE60" s="85"/>
      <c r="AF60" s="21">
        <v>2.5</v>
      </c>
      <c r="AG60" s="23">
        <v>6</v>
      </c>
      <c r="AH60" s="137">
        <f>23-0.5-16</f>
        <v>6.5</v>
      </c>
      <c r="AI60" s="62">
        <f>20-0.5-16</f>
        <v>3.5</v>
      </c>
      <c r="AJ60" s="62"/>
      <c r="AK60" s="102">
        <f>16.5-13</f>
        <v>3.5</v>
      </c>
      <c r="AL60" s="85">
        <v>3</v>
      </c>
      <c r="AM60" s="21">
        <f>20-0.5-16</f>
        <v>3.5</v>
      </c>
      <c r="AN60" s="23">
        <v>7.5</v>
      </c>
      <c r="AO60" s="137">
        <v>6.5</v>
      </c>
      <c r="AP60" s="62">
        <f>19-0.5-16</f>
        <v>2.5</v>
      </c>
      <c r="AQ60" s="62"/>
      <c r="AR60" s="102">
        <f>22-0.5-13</f>
        <v>8.5</v>
      </c>
      <c r="AS60" s="85">
        <v>6</v>
      </c>
      <c r="AT60" s="82">
        <f>22-0.5-16</f>
        <v>5.5</v>
      </c>
      <c r="AU60" s="62">
        <v>3</v>
      </c>
      <c r="AV60" s="128"/>
      <c r="AW60" s="187"/>
      <c r="AX60" s="187"/>
      <c r="AY60" s="187"/>
      <c r="AZ60" s="187"/>
      <c r="BA60" s="187"/>
      <c r="BB60" s="187"/>
      <c r="BC60" s="187"/>
      <c r="BD60" s="187"/>
      <c r="BE60" s="189"/>
    </row>
    <row r="61" spans="2:57" ht="15.95" customHeight="1">
      <c r="B61" s="193">
        <f>B57+1</f>
        <v>12</v>
      </c>
      <c r="C61" s="68"/>
      <c r="D61" s="177" t="s">
        <v>6</v>
      </c>
      <c r="E61" s="178"/>
      <c r="F61" s="178"/>
      <c r="G61" s="178"/>
      <c r="H61" s="178"/>
      <c r="I61" s="178"/>
      <c r="J61" s="178"/>
      <c r="K61" s="179"/>
      <c r="L61" s="177" t="s">
        <v>43</v>
      </c>
      <c r="M61" s="178"/>
      <c r="N61" s="179"/>
      <c r="O61" s="64" t="s">
        <v>668</v>
      </c>
      <c r="P61" s="47"/>
      <c r="Q61" s="77" t="s">
        <v>734</v>
      </c>
      <c r="R61" s="81" t="s">
        <v>663</v>
      </c>
      <c r="S61" s="81" t="s">
        <v>770</v>
      </c>
      <c r="T61" s="115" t="s">
        <v>683</v>
      </c>
      <c r="U61" s="140" t="s">
        <v>734</v>
      </c>
      <c r="V61" s="115" t="s">
        <v>734</v>
      </c>
      <c r="W61" s="79" t="s">
        <v>733</v>
      </c>
      <c r="X61" s="77" t="s">
        <v>734</v>
      </c>
      <c r="Y61" s="81" t="s">
        <v>769</v>
      </c>
      <c r="Z61" s="81" t="s">
        <v>734</v>
      </c>
      <c r="AA61" s="115" t="s">
        <v>768</v>
      </c>
      <c r="AB61" s="140" t="s">
        <v>734</v>
      </c>
      <c r="AC61" s="115" t="s">
        <v>769</v>
      </c>
      <c r="AD61" s="79" t="s">
        <v>663</v>
      </c>
      <c r="AE61" s="77" t="s">
        <v>81</v>
      </c>
      <c r="AF61" s="81" t="s">
        <v>768</v>
      </c>
      <c r="AG61" s="81" t="s">
        <v>794</v>
      </c>
      <c r="AH61" s="115" t="s">
        <v>672</v>
      </c>
      <c r="AI61" s="140" t="s">
        <v>734</v>
      </c>
      <c r="AJ61" s="115" t="s">
        <v>771</v>
      </c>
      <c r="AK61" s="79" t="s">
        <v>768</v>
      </c>
      <c r="AL61" s="77" t="s">
        <v>734</v>
      </c>
      <c r="AM61" s="81" t="s">
        <v>768</v>
      </c>
      <c r="AN61" s="81" t="s">
        <v>768</v>
      </c>
      <c r="AO61" s="115" t="s">
        <v>683</v>
      </c>
      <c r="AP61" s="140" t="s">
        <v>732</v>
      </c>
      <c r="AQ61" s="140" t="s">
        <v>768</v>
      </c>
      <c r="AR61" s="79" t="s">
        <v>734</v>
      </c>
      <c r="AS61" s="77" t="s">
        <v>734</v>
      </c>
      <c r="AT61" s="81" t="s">
        <v>768</v>
      </c>
      <c r="AU61" s="115" t="s">
        <v>683</v>
      </c>
      <c r="AV61" s="121"/>
      <c r="AW61" s="186">
        <f>COUNTIF(Q63:AT63,$AW$10)</f>
        <v>20</v>
      </c>
      <c r="AX61" s="186">
        <f>COUNTIF(Q63:AT63,$AX$10)</f>
        <v>0</v>
      </c>
      <c r="AY61" s="186">
        <f>COUNTIF(Q63:AT63,$AY$10)</f>
        <v>0</v>
      </c>
      <c r="AZ61" s="186">
        <f>COUNTIF(Q63:AT63,$AZ$10)</f>
        <v>2</v>
      </c>
      <c r="BA61" s="186">
        <f>COUNTIF(Q63:AT63,$BA$10)</f>
        <v>0</v>
      </c>
      <c r="BB61" s="186">
        <f>COUNTIF(Q63:AT63,$BB$10)</f>
        <v>8</v>
      </c>
      <c r="BC61" s="186">
        <f>COUNTIF(Q63:AT63,$BC$10)</f>
        <v>0</v>
      </c>
      <c r="BD61" s="186">
        <f>COUNTIF(Q63:AT63,$BD$10)</f>
        <v>0</v>
      </c>
      <c r="BE61" s="188">
        <f>SUM(Q64:AT64)</f>
        <v>0</v>
      </c>
    </row>
    <row r="62" spans="2:57" ht="15.95" customHeight="1">
      <c r="B62" s="194"/>
      <c r="C62" s="109"/>
      <c r="D62" s="180"/>
      <c r="E62" s="181"/>
      <c r="F62" s="181"/>
      <c r="G62" s="181"/>
      <c r="H62" s="181"/>
      <c r="I62" s="181"/>
      <c r="J62" s="181"/>
      <c r="K62" s="182"/>
      <c r="L62" s="180"/>
      <c r="M62" s="181"/>
      <c r="N62" s="182"/>
      <c r="O62" s="110" t="s">
        <v>669</v>
      </c>
      <c r="P62" s="44"/>
      <c r="Q62" s="76" t="s">
        <v>734</v>
      </c>
      <c r="R62" s="80" t="s">
        <v>780</v>
      </c>
      <c r="S62" s="80" t="s">
        <v>824</v>
      </c>
      <c r="T62" s="114" t="s">
        <v>788</v>
      </c>
      <c r="U62" s="141" t="s">
        <v>734</v>
      </c>
      <c r="V62" s="114" t="s">
        <v>734</v>
      </c>
      <c r="W62" s="72" t="s">
        <v>788</v>
      </c>
      <c r="X62" s="76" t="s">
        <v>734</v>
      </c>
      <c r="Y62" s="80" t="s">
        <v>828</v>
      </c>
      <c r="Z62" s="80" t="s">
        <v>734</v>
      </c>
      <c r="AA62" s="114" t="s">
        <v>777</v>
      </c>
      <c r="AB62" s="141" t="s">
        <v>734</v>
      </c>
      <c r="AC62" s="114" t="s">
        <v>788</v>
      </c>
      <c r="AD62" s="72" t="s">
        <v>1576</v>
      </c>
      <c r="AE62" s="76" t="s">
        <v>1577</v>
      </c>
      <c r="AF62" s="80" t="s">
        <v>788</v>
      </c>
      <c r="AG62" s="80" t="s">
        <v>788</v>
      </c>
      <c r="AH62" s="114" t="s">
        <v>682</v>
      </c>
      <c r="AI62" s="141" t="s">
        <v>734</v>
      </c>
      <c r="AJ62" s="114" t="s">
        <v>788</v>
      </c>
      <c r="AK62" s="72" t="s">
        <v>1486</v>
      </c>
      <c r="AL62" s="76" t="s">
        <v>734</v>
      </c>
      <c r="AM62" s="80" t="s">
        <v>788</v>
      </c>
      <c r="AN62" s="80" t="s">
        <v>779</v>
      </c>
      <c r="AO62" s="114" t="s">
        <v>1578</v>
      </c>
      <c r="AP62" s="141" t="s">
        <v>1579</v>
      </c>
      <c r="AQ62" s="141" t="s">
        <v>1580</v>
      </c>
      <c r="AR62" s="72" t="s">
        <v>734</v>
      </c>
      <c r="AS62" s="76" t="s">
        <v>734</v>
      </c>
      <c r="AT62" s="80" t="s">
        <v>828</v>
      </c>
      <c r="AU62" s="114" t="s">
        <v>824</v>
      </c>
      <c r="AV62" s="120"/>
      <c r="AW62" s="187"/>
      <c r="AX62" s="187"/>
      <c r="AY62" s="187"/>
      <c r="AZ62" s="187"/>
      <c r="BA62" s="187"/>
      <c r="BB62" s="187"/>
      <c r="BC62" s="187"/>
      <c r="BD62" s="187"/>
      <c r="BE62" s="189"/>
    </row>
    <row r="63" spans="2:57" ht="15.95" customHeight="1">
      <c r="B63" s="194"/>
      <c r="C63" s="109"/>
      <c r="D63" s="180"/>
      <c r="E63" s="181"/>
      <c r="F63" s="181"/>
      <c r="G63" s="181"/>
      <c r="H63" s="181"/>
      <c r="I63" s="181"/>
      <c r="J63" s="181"/>
      <c r="K63" s="182"/>
      <c r="L63" s="180"/>
      <c r="M63" s="181"/>
      <c r="N63" s="182"/>
      <c r="O63" s="110" t="s">
        <v>670</v>
      </c>
      <c r="P63" s="44"/>
      <c r="Q63" s="25" t="s">
        <v>23</v>
      </c>
      <c r="R63" s="22" t="s">
        <v>28</v>
      </c>
      <c r="S63" s="22" t="s">
        <v>28</v>
      </c>
      <c r="T63" s="113" t="s">
        <v>28</v>
      </c>
      <c r="U63" s="113" t="s">
        <v>30</v>
      </c>
      <c r="V63" s="22" t="s">
        <v>30</v>
      </c>
      <c r="W63" s="24" t="s">
        <v>28</v>
      </c>
      <c r="X63" s="25" t="s">
        <v>23</v>
      </c>
      <c r="Y63" s="22" t="s">
        <v>28</v>
      </c>
      <c r="Z63" s="22" t="s">
        <v>23</v>
      </c>
      <c r="AA63" s="113" t="s">
        <v>28</v>
      </c>
      <c r="AB63" s="138" t="s">
        <v>23</v>
      </c>
      <c r="AC63" s="22" t="s">
        <v>28</v>
      </c>
      <c r="AD63" s="24" t="s">
        <v>28</v>
      </c>
      <c r="AE63" s="25" t="s">
        <v>28</v>
      </c>
      <c r="AF63" s="22" t="s">
        <v>28</v>
      </c>
      <c r="AG63" s="22" t="s">
        <v>28</v>
      </c>
      <c r="AH63" s="22" t="s">
        <v>28</v>
      </c>
      <c r="AI63" s="138" t="s">
        <v>23</v>
      </c>
      <c r="AJ63" s="22" t="s">
        <v>28</v>
      </c>
      <c r="AK63" s="24" t="s">
        <v>28</v>
      </c>
      <c r="AL63" s="25" t="s">
        <v>23</v>
      </c>
      <c r="AM63" s="22" t="s">
        <v>28</v>
      </c>
      <c r="AN63" s="22" t="s">
        <v>28</v>
      </c>
      <c r="AO63" s="22" t="s">
        <v>28</v>
      </c>
      <c r="AP63" s="22" t="s">
        <v>28</v>
      </c>
      <c r="AQ63" s="22" t="s">
        <v>28</v>
      </c>
      <c r="AR63" s="24" t="s">
        <v>23</v>
      </c>
      <c r="AS63" s="25" t="s">
        <v>23</v>
      </c>
      <c r="AT63" s="22" t="s">
        <v>28</v>
      </c>
      <c r="AU63" s="113" t="s">
        <v>28</v>
      </c>
      <c r="AV63" s="119"/>
      <c r="AW63" s="187"/>
      <c r="AX63" s="187"/>
      <c r="AY63" s="187"/>
      <c r="AZ63" s="187"/>
      <c r="BA63" s="187"/>
      <c r="BB63" s="187"/>
      <c r="BC63" s="187"/>
      <c r="BD63" s="187"/>
      <c r="BE63" s="189"/>
    </row>
    <row r="64" spans="2:57" ht="15.95" customHeight="1" thickBot="1">
      <c r="B64" s="195"/>
      <c r="C64" s="70"/>
      <c r="D64" s="183"/>
      <c r="E64" s="184"/>
      <c r="F64" s="184"/>
      <c r="G64" s="184"/>
      <c r="H64" s="184"/>
      <c r="I64" s="184"/>
      <c r="J64" s="184"/>
      <c r="K64" s="185"/>
      <c r="L64" s="183"/>
      <c r="M64" s="184"/>
      <c r="N64" s="185"/>
      <c r="O64" s="66" t="s">
        <v>671</v>
      </c>
      <c r="P64" s="45"/>
      <c r="Q64" s="85"/>
      <c r="R64" s="21"/>
      <c r="S64" s="23"/>
      <c r="T64" s="137"/>
      <c r="U64" s="62"/>
      <c r="V64" s="62"/>
      <c r="W64" s="102"/>
      <c r="X64" s="85"/>
      <c r="Y64" s="21"/>
      <c r="Z64" s="23"/>
      <c r="AA64" s="137"/>
      <c r="AB64" s="62"/>
      <c r="AC64" s="62"/>
      <c r="AD64" s="102"/>
      <c r="AE64" s="85"/>
      <c r="AF64" s="21"/>
      <c r="AG64" s="23"/>
      <c r="AH64" s="137"/>
      <c r="AI64" s="62"/>
      <c r="AJ64" s="62"/>
      <c r="AK64" s="102"/>
      <c r="AL64" s="85"/>
      <c r="AM64" s="21"/>
      <c r="AN64" s="23"/>
      <c r="AO64" s="137"/>
      <c r="AP64" s="62"/>
      <c r="AQ64" s="62"/>
      <c r="AR64" s="102"/>
      <c r="AS64" s="85"/>
      <c r="AT64" s="82"/>
      <c r="AU64" s="62"/>
      <c r="AV64" s="125"/>
      <c r="AW64" s="196"/>
      <c r="AX64" s="196"/>
      <c r="AY64" s="196"/>
      <c r="AZ64" s="196"/>
      <c r="BA64" s="196"/>
      <c r="BB64" s="196"/>
      <c r="BC64" s="196"/>
      <c r="BD64" s="196"/>
      <c r="BE64" s="197"/>
    </row>
    <row r="65" spans="2:57" ht="15.95" customHeight="1">
      <c r="B65" s="193">
        <f>B61+1</f>
        <v>13</v>
      </c>
      <c r="C65" s="68"/>
      <c r="D65" s="177" t="s">
        <v>7</v>
      </c>
      <c r="E65" s="178"/>
      <c r="F65" s="178"/>
      <c r="G65" s="178"/>
      <c r="H65" s="178"/>
      <c r="I65" s="178"/>
      <c r="J65" s="178"/>
      <c r="K65" s="179"/>
      <c r="L65" s="177" t="s">
        <v>43</v>
      </c>
      <c r="M65" s="178"/>
      <c r="N65" s="179"/>
      <c r="O65" s="64" t="s">
        <v>668</v>
      </c>
      <c r="P65" s="47"/>
      <c r="Q65" s="77" t="s">
        <v>734</v>
      </c>
      <c r="R65" s="81" t="s">
        <v>738</v>
      </c>
      <c r="S65" s="81" t="s">
        <v>737</v>
      </c>
      <c r="T65" s="115" t="s">
        <v>663</v>
      </c>
      <c r="U65" s="140" t="s">
        <v>734</v>
      </c>
      <c r="V65" s="115" t="s">
        <v>663</v>
      </c>
      <c r="W65" s="79" t="s">
        <v>663</v>
      </c>
      <c r="X65" s="77" t="s">
        <v>734</v>
      </c>
      <c r="Y65" s="81" t="s">
        <v>768</v>
      </c>
      <c r="Z65" s="81" t="s">
        <v>685</v>
      </c>
      <c r="AA65" s="115" t="s">
        <v>733</v>
      </c>
      <c r="AB65" s="140" t="s">
        <v>734</v>
      </c>
      <c r="AC65" s="115" t="s">
        <v>732</v>
      </c>
      <c r="AD65" s="79" t="s">
        <v>681</v>
      </c>
      <c r="AE65" s="77" t="s">
        <v>81</v>
      </c>
      <c r="AF65" s="81" t="s">
        <v>733</v>
      </c>
      <c r="AG65" s="81" t="s">
        <v>663</v>
      </c>
      <c r="AH65" s="115" t="s">
        <v>732</v>
      </c>
      <c r="AI65" s="140" t="s">
        <v>769</v>
      </c>
      <c r="AJ65" s="115" t="s">
        <v>203</v>
      </c>
      <c r="AK65" s="79" t="s">
        <v>733</v>
      </c>
      <c r="AL65" s="77" t="s">
        <v>734</v>
      </c>
      <c r="AM65" s="81" t="s">
        <v>737</v>
      </c>
      <c r="AN65" s="81" t="s">
        <v>738</v>
      </c>
      <c r="AO65" s="115" t="s">
        <v>732</v>
      </c>
      <c r="AP65" s="140" t="s">
        <v>732</v>
      </c>
      <c r="AQ65" s="140" t="s">
        <v>769</v>
      </c>
      <c r="AR65" s="79" t="s">
        <v>732</v>
      </c>
      <c r="AS65" s="77" t="s">
        <v>734</v>
      </c>
      <c r="AT65" s="81" t="s">
        <v>149</v>
      </c>
      <c r="AU65" s="115" t="s">
        <v>737</v>
      </c>
      <c r="AV65" s="121"/>
      <c r="AW65" s="186">
        <f>COUNTIF(Q67:AT67,$AW$10)</f>
        <v>23</v>
      </c>
      <c r="AX65" s="186">
        <f>COUNTIF(Q67:AT67,$AX$10)</f>
        <v>0</v>
      </c>
      <c r="AY65" s="186">
        <f>COUNTIF(Q67:AT67,$AY$10)</f>
        <v>0</v>
      </c>
      <c r="AZ65" s="186">
        <f>COUNTIF(Q67:AT67,$AZ$10)</f>
        <v>1</v>
      </c>
      <c r="BA65" s="186">
        <f>COUNTIF(Q67:AT67,$BA$10)</f>
        <v>0</v>
      </c>
      <c r="BB65" s="186">
        <f>COUNTIF(Q67:AT67,$BB$10)</f>
        <v>5</v>
      </c>
      <c r="BC65" s="186">
        <f>COUNTIF(Q67:AT67,$BC$10)</f>
        <v>0</v>
      </c>
      <c r="BD65" s="186">
        <f>COUNTIF(Q67:AT67,$BD$10)</f>
        <v>0</v>
      </c>
      <c r="BE65" s="188">
        <f>SUM(Q68:AT68)</f>
        <v>0</v>
      </c>
    </row>
    <row r="66" spans="2:57" ht="15.95" customHeight="1">
      <c r="B66" s="194"/>
      <c r="C66" s="69"/>
      <c r="D66" s="180"/>
      <c r="E66" s="181"/>
      <c r="F66" s="181"/>
      <c r="G66" s="181"/>
      <c r="H66" s="181"/>
      <c r="I66" s="181"/>
      <c r="J66" s="181"/>
      <c r="K66" s="182"/>
      <c r="L66" s="180"/>
      <c r="M66" s="181"/>
      <c r="N66" s="182"/>
      <c r="O66" s="65" t="s">
        <v>669</v>
      </c>
      <c r="P66" s="44"/>
      <c r="Q66" s="76" t="s">
        <v>734</v>
      </c>
      <c r="R66" s="80" t="s">
        <v>782</v>
      </c>
      <c r="S66" s="80" t="s">
        <v>824</v>
      </c>
      <c r="T66" s="114" t="s">
        <v>788</v>
      </c>
      <c r="U66" s="141" t="s">
        <v>734</v>
      </c>
      <c r="V66" s="114" t="s">
        <v>684</v>
      </c>
      <c r="W66" s="72" t="s">
        <v>788</v>
      </c>
      <c r="X66" s="76" t="s">
        <v>734</v>
      </c>
      <c r="Y66" s="80" t="s">
        <v>828</v>
      </c>
      <c r="Z66" s="80" t="s">
        <v>834</v>
      </c>
      <c r="AA66" s="114" t="s">
        <v>777</v>
      </c>
      <c r="AB66" s="141" t="s">
        <v>734</v>
      </c>
      <c r="AC66" s="114" t="s">
        <v>682</v>
      </c>
      <c r="AD66" s="72" t="s">
        <v>1581</v>
      </c>
      <c r="AE66" s="76" t="s">
        <v>1582</v>
      </c>
      <c r="AF66" s="80" t="s">
        <v>682</v>
      </c>
      <c r="AG66" s="80" t="s">
        <v>682</v>
      </c>
      <c r="AH66" s="114" t="s">
        <v>1583</v>
      </c>
      <c r="AI66" s="141" t="s">
        <v>826</v>
      </c>
      <c r="AJ66" s="114" t="s">
        <v>788</v>
      </c>
      <c r="AK66" s="72" t="s">
        <v>1486</v>
      </c>
      <c r="AL66" s="76" t="s">
        <v>734</v>
      </c>
      <c r="AM66" s="80" t="s">
        <v>828</v>
      </c>
      <c r="AN66" s="80" t="s">
        <v>779</v>
      </c>
      <c r="AO66" s="114" t="s">
        <v>835</v>
      </c>
      <c r="AP66" s="141" t="s">
        <v>1584</v>
      </c>
      <c r="AQ66" s="141" t="s">
        <v>1585</v>
      </c>
      <c r="AR66" s="72" t="s">
        <v>780</v>
      </c>
      <c r="AS66" s="76" t="s">
        <v>734</v>
      </c>
      <c r="AT66" s="80" t="s">
        <v>796</v>
      </c>
      <c r="AU66" s="114" t="s">
        <v>824</v>
      </c>
      <c r="AV66" s="120"/>
      <c r="AW66" s="187"/>
      <c r="AX66" s="187"/>
      <c r="AY66" s="187"/>
      <c r="AZ66" s="187"/>
      <c r="BA66" s="187"/>
      <c r="BB66" s="187"/>
      <c r="BC66" s="187"/>
      <c r="BD66" s="187"/>
      <c r="BE66" s="189"/>
    </row>
    <row r="67" spans="2:57" ht="15.95" customHeight="1">
      <c r="B67" s="194"/>
      <c r="C67" s="69"/>
      <c r="D67" s="180"/>
      <c r="E67" s="181"/>
      <c r="F67" s="181"/>
      <c r="G67" s="181"/>
      <c r="H67" s="181"/>
      <c r="I67" s="181"/>
      <c r="J67" s="181"/>
      <c r="K67" s="182"/>
      <c r="L67" s="180"/>
      <c r="M67" s="181"/>
      <c r="N67" s="182"/>
      <c r="O67" s="65" t="s">
        <v>670</v>
      </c>
      <c r="P67" s="44"/>
      <c r="Q67" s="25" t="s">
        <v>23</v>
      </c>
      <c r="R67" s="22" t="s">
        <v>28</v>
      </c>
      <c r="S67" s="22" t="s">
        <v>28</v>
      </c>
      <c r="T67" s="113" t="s">
        <v>28</v>
      </c>
      <c r="U67" s="113" t="s">
        <v>30</v>
      </c>
      <c r="V67" s="22" t="s">
        <v>28</v>
      </c>
      <c r="W67" s="24" t="s">
        <v>28</v>
      </c>
      <c r="X67" s="25" t="s">
        <v>23</v>
      </c>
      <c r="Y67" s="22" t="s">
        <v>28</v>
      </c>
      <c r="Z67" s="22" t="s">
        <v>1613</v>
      </c>
      <c r="AA67" s="113" t="s">
        <v>28</v>
      </c>
      <c r="AB67" s="138" t="s">
        <v>23</v>
      </c>
      <c r="AC67" s="22" t="s">
        <v>28</v>
      </c>
      <c r="AD67" s="24" t="s">
        <v>28</v>
      </c>
      <c r="AE67" s="25" t="s">
        <v>28</v>
      </c>
      <c r="AF67" s="22" t="s">
        <v>28</v>
      </c>
      <c r="AG67" s="22" t="s">
        <v>28</v>
      </c>
      <c r="AH67" s="22" t="s">
        <v>28</v>
      </c>
      <c r="AI67" s="22" t="s">
        <v>28</v>
      </c>
      <c r="AJ67" s="22" t="s">
        <v>28</v>
      </c>
      <c r="AK67" s="24" t="s">
        <v>28</v>
      </c>
      <c r="AL67" s="25" t="s">
        <v>23</v>
      </c>
      <c r="AM67" s="22" t="s">
        <v>28</v>
      </c>
      <c r="AN67" s="22" t="s">
        <v>28</v>
      </c>
      <c r="AO67" s="22" t="s">
        <v>28</v>
      </c>
      <c r="AP67" s="22" t="s">
        <v>28</v>
      </c>
      <c r="AQ67" s="22" t="s">
        <v>28</v>
      </c>
      <c r="AR67" s="24" t="s">
        <v>28</v>
      </c>
      <c r="AS67" s="25" t="s">
        <v>23</v>
      </c>
      <c r="AT67" s="22" t="s">
        <v>28</v>
      </c>
      <c r="AU67" s="113" t="s">
        <v>28</v>
      </c>
      <c r="AV67" s="119"/>
      <c r="AW67" s="187"/>
      <c r="AX67" s="187"/>
      <c r="AY67" s="187"/>
      <c r="AZ67" s="187"/>
      <c r="BA67" s="187"/>
      <c r="BB67" s="187"/>
      <c r="BC67" s="187"/>
      <c r="BD67" s="187"/>
      <c r="BE67" s="189"/>
    </row>
    <row r="68" spans="2:57" ht="15.95" customHeight="1" thickBot="1">
      <c r="B68" s="195"/>
      <c r="C68" s="70"/>
      <c r="D68" s="183"/>
      <c r="E68" s="184"/>
      <c r="F68" s="184"/>
      <c r="G68" s="184"/>
      <c r="H68" s="184"/>
      <c r="I68" s="184"/>
      <c r="J68" s="184"/>
      <c r="K68" s="185"/>
      <c r="L68" s="183"/>
      <c r="M68" s="184"/>
      <c r="N68" s="185"/>
      <c r="O68" s="66" t="s">
        <v>671</v>
      </c>
      <c r="P68" s="45"/>
      <c r="Q68" s="85"/>
      <c r="R68" s="21"/>
      <c r="S68" s="23"/>
      <c r="T68" s="137"/>
      <c r="U68" s="62"/>
      <c r="V68" s="62"/>
      <c r="W68" s="102"/>
      <c r="X68" s="85"/>
      <c r="Y68" s="21"/>
      <c r="Z68" s="23"/>
      <c r="AA68" s="137"/>
      <c r="AB68" s="62"/>
      <c r="AC68" s="62"/>
      <c r="AD68" s="102"/>
      <c r="AE68" s="85"/>
      <c r="AF68" s="21"/>
      <c r="AG68" s="23"/>
      <c r="AH68" s="137"/>
      <c r="AI68" s="62"/>
      <c r="AJ68" s="62"/>
      <c r="AK68" s="102"/>
      <c r="AL68" s="85"/>
      <c r="AM68" s="21"/>
      <c r="AN68" s="23"/>
      <c r="AO68" s="137"/>
      <c r="AP68" s="62"/>
      <c r="AQ68" s="62"/>
      <c r="AR68" s="102"/>
      <c r="AS68" s="85"/>
      <c r="AT68" s="82"/>
      <c r="AU68" s="62"/>
      <c r="AV68" s="128"/>
      <c r="AW68" s="187"/>
      <c r="AX68" s="187"/>
      <c r="AY68" s="187"/>
      <c r="AZ68" s="187"/>
      <c r="BA68" s="187"/>
      <c r="BB68" s="187"/>
      <c r="BC68" s="187"/>
      <c r="BD68" s="187"/>
      <c r="BE68" s="189"/>
    </row>
    <row r="69" spans="2:57" ht="15.95" customHeight="1">
      <c r="B69" s="193">
        <f>B65+1</f>
        <v>14</v>
      </c>
      <c r="C69" s="68"/>
      <c r="D69" s="177" t="s">
        <v>19</v>
      </c>
      <c r="E69" s="178"/>
      <c r="F69" s="178"/>
      <c r="G69" s="178"/>
      <c r="H69" s="178"/>
      <c r="I69" s="178"/>
      <c r="J69" s="178"/>
      <c r="K69" s="179"/>
      <c r="L69" s="177" t="s">
        <v>22</v>
      </c>
      <c r="M69" s="178"/>
      <c r="N69" s="179"/>
      <c r="O69" s="64" t="s">
        <v>668</v>
      </c>
      <c r="P69" s="47"/>
      <c r="Q69" s="77" t="s">
        <v>734</v>
      </c>
      <c r="R69" s="81" t="s">
        <v>811</v>
      </c>
      <c r="S69" s="81" t="s">
        <v>1526</v>
      </c>
      <c r="T69" s="115" t="s">
        <v>793</v>
      </c>
      <c r="U69" s="140" t="s">
        <v>734</v>
      </c>
      <c r="V69" s="115" t="s">
        <v>769</v>
      </c>
      <c r="W69" s="79" t="s">
        <v>792</v>
      </c>
      <c r="X69" s="77" t="s">
        <v>734</v>
      </c>
      <c r="Y69" s="81" t="s">
        <v>790</v>
      </c>
      <c r="Z69" s="81" t="s">
        <v>833</v>
      </c>
      <c r="AA69" s="115" t="s">
        <v>868</v>
      </c>
      <c r="AB69" s="140" t="s">
        <v>734</v>
      </c>
      <c r="AC69" s="115" t="s">
        <v>1586</v>
      </c>
      <c r="AD69" s="79" t="s">
        <v>755</v>
      </c>
      <c r="AE69" s="77" t="s">
        <v>734</v>
      </c>
      <c r="AF69" s="81" t="s">
        <v>793</v>
      </c>
      <c r="AG69" s="81" t="s">
        <v>791</v>
      </c>
      <c r="AH69" s="115" t="s">
        <v>221</v>
      </c>
      <c r="AI69" s="140" t="s">
        <v>672</v>
      </c>
      <c r="AJ69" s="115" t="s">
        <v>768</v>
      </c>
      <c r="AK69" s="79" t="s">
        <v>789</v>
      </c>
      <c r="AL69" s="77" t="s">
        <v>734</v>
      </c>
      <c r="AM69" s="81" t="s">
        <v>792</v>
      </c>
      <c r="AN69" s="81" t="s">
        <v>749</v>
      </c>
      <c r="AO69" s="115" t="s">
        <v>789</v>
      </c>
      <c r="AP69" s="140" t="s">
        <v>533</v>
      </c>
      <c r="AQ69" s="140" t="s">
        <v>734</v>
      </c>
      <c r="AR69" s="79" t="s">
        <v>754</v>
      </c>
      <c r="AS69" s="77" t="s">
        <v>734</v>
      </c>
      <c r="AT69" s="81" t="s">
        <v>141</v>
      </c>
      <c r="AU69" s="115" t="s">
        <v>755</v>
      </c>
      <c r="AV69" s="121"/>
      <c r="AW69" s="186">
        <f>COUNTIF(Q71:AT71,$AW$10)</f>
        <v>22</v>
      </c>
      <c r="AX69" s="186">
        <f>COUNTIF(Q71:AT71,$AX$10)</f>
        <v>0</v>
      </c>
      <c r="AY69" s="186">
        <f>COUNTIF(Q71:AT71,$AY$10)</f>
        <v>7</v>
      </c>
      <c r="AZ69" s="186">
        <f>COUNTIF(Q71:AT71,$AZ$10)</f>
        <v>1</v>
      </c>
      <c r="BA69" s="186">
        <f>COUNTIF(Q71:AT71,$BA$10)</f>
        <v>0</v>
      </c>
      <c r="BB69" s="186">
        <f>COUNTIF(Q71:AT71,$BB$10)</f>
        <v>0</v>
      </c>
      <c r="BC69" s="186">
        <f>COUNTIF(Q71:AT71,$BC$10)</f>
        <v>0</v>
      </c>
      <c r="BD69" s="186">
        <f>COUNTIF(Q71:AT71,$BD$10)</f>
        <v>0</v>
      </c>
      <c r="BE69" s="188">
        <f>SUM(Q72:AT72)</f>
        <v>0</v>
      </c>
    </row>
    <row r="70" spans="2:57" ht="15.95" customHeight="1">
      <c r="B70" s="194"/>
      <c r="C70" s="69"/>
      <c r="D70" s="180"/>
      <c r="E70" s="181"/>
      <c r="F70" s="181"/>
      <c r="G70" s="181"/>
      <c r="H70" s="181"/>
      <c r="I70" s="181"/>
      <c r="J70" s="181"/>
      <c r="K70" s="182"/>
      <c r="L70" s="180"/>
      <c r="M70" s="181"/>
      <c r="N70" s="182"/>
      <c r="O70" s="65" t="s">
        <v>669</v>
      </c>
      <c r="P70" s="44"/>
      <c r="Q70" s="76" t="s">
        <v>734</v>
      </c>
      <c r="R70" s="80" t="s">
        <v>682</v>
      </c>
      <c r="S70" s="80" t="s">
        <v>788</v>
      </c>
      <c r="T70" s="114" t="s">
        <v>788</v>
      </c>
      <c r="U70" s="141" t="s">
        <v>734</v>
      </c>
      <c r="V70" s="114" t="s">
        <v>788</v>
      </c>
      <c r="W70" s="72" t="s">
        <v>745</v>
      </c>
      <c r="X70" s="76" t="s">
        <v>734</v>
      </c>
      <c r="Y70" s="80" t="s">
        <v>824</v>
      </c>
      <c r="Z70" s="80" t="s">
        <v>829</v>
      </c>
      <c r="AA70" s="114" t="s">
        <v>1587</v>
      </c>
      <c r="AB70" s="141" t="s">
        <v>734</v>
      </c>
      <c r="AC70" s="114" t="s">
        <v>788</v>
      </c>
      <c r="AD70" s="72" t="s">
        <v>1588</v>
      </c>
      <c r="AE70" s="76" t="s">
        <v>734</v>
      </c>
      <c r="AF70" s="80" t="s">
        <v>1589</v>
      </c>
      <c r="AG70" s="80" t="s">
        <v>781</v>
      </c>
      <c r="AH70" s="114" t="s">
        <v>788</v>
      </c>
      <c r="AI70" s="141" t="s">
        <v>831</v>
      </c>
      <c r="AJ70" s="114" t="s">
        <v>788</v>
      </c>
      <c r="AK70" s="72" t="s">
        <v>1590</v>
      </c>
      <c r="AL70" s="76" t="s">
        <v>734</v>
      </c>
      <c r="AM70" s="80" t="s">
        <v>828</v>
      </c>
      <c r="AN70" s="80" t="s">
        <v>827</v>
      </c>
      <c r="AO70" s="114" t="s">
        <v>828</v>
      </c>
      <c r="AP70" s="141" t="s">
        <v>682</v>
      </c>
      <c r="AQ70" s="141" t="s">
        <v>734</v>
      </c>
      <c r="AR70" s="72" t="s">
        <v>1591</v>
      </c>
      <c r="AS70" s="76" t="s">
        <v>734</v>
      </c>
      <c r="AT70" s="80" t="s">
        <v>824</v>
      </c>
      <c r="AU70" s="114" t="s">
        <v>828</v>
      </c>
      <c r="AV70" s="120"/>
      <c r="AW70" s="187"/>
      <c r="AX70" s="187"/>
      <c r="AY70" s="187"/>
      <c r="AZ70" s="187"/>
      <c r="BA70" s="187"/>
      <c r="BB70" s="187"/>
      <c r="BC70" s="187"/>
      <c r="BD70" s="187"/>
      <c r="BE70" s="189"/>
    </row>
    <row r="71" spans="2:57" ht="15.95" customHeight="1">
      <c r="B71" s="194"/>
      <c r="C71" s="69"/>
      <c r="D71" s="180"/>
      <c r="E71" s="181"/>
      <c r="F71" s="181"/>
      <c r="G71" s="181"/>
      <c r="H71" s="181"/>
      <c r="I71" s="181"/>
      <c r="J71" s="181"/>
      <c r="K71" s="182"/>
      <c r="L71" s="180"/>
      <c r="M71" s="181"/>
      <c r="N71" s="182"/>
      <c r="O71" s="65" t="s">
        <v>670</v>
      </c>
      <c r="P71" s="44"/>
      <c r="Q71" s="25" t="s">
        <v>26</v>
      </c>
      <c r="R71" s="22" t="s">
        <v>28</v>
      </c>
      <c r="S71" s="22" t="s">
        <v>28</v>
      </c>
      <c r="T71" s="113" t="s">
        <v>28</v>
      </c>
      <c r="U71" s="113" t="s">
        <v>30</v>
      </c>
      <c r="V71" s="22" t="s">
        <v>28</v>
      </c>
      <c r="W71" s="24" t="s">
        <v>28</v>
      </c>
      <c r="X71" s="25" t="s">
        <v>26</v>
      </c>
      <c r="Y71" s="22" t="s">
        <v>28</v>
      </c>
      <c r="Z71" s="22" t="s">
        <v>28</v>
      </c>
      <c r="AA71" s="113" t="s">
        <v>28</v>
      </c>
      <c r="AB71" s="138" t="s">
        <v>26</v>
      </c>
      <c r="AC71" s="22" t="s">
        <v>28</v>
      </c>
      <c r="AD71" s="24" t="s">
        <v>28</v>
      </c>
      <c r="AE71" s="25" t="s">
        <v>26</v>
      </c>
      <c r="AF71" s="22" t="s">
        <v>28</v>
      </c>
      <c r="AG71" s="22" t="s">
        <v>28</v>
      </c>
      <c r="AH71" s="22" t="s">
        <v>28</v>
      </c>
      <c r="AI71" s="22" t="s">
        <v>28</v>
      </c>
      <c r="AJ71" s="22" t="s">
        <v>28</v>
      </c>
      <c r="AK71" s="24" t="s">
        <v>28</v>
      </c>
      <c r="AL71" s="25" t="s">
        <v>26</v>
      </c>
      <c r="AM71" s="22" t="s">
        <v>28</v>
      </c>
      <c r="AN71" s="22" t="s">
        <v>28</v>
      </c>
      <c r="AO71" s="22" t="s">
        <v>28</v>
      </c>
      <c r="AP71" s="22" t="s">
        <v>28</v>
      </c>
      <c r="AQ71" s="113" t="s">
        <v>26</v>
      </c>
      <c r="AR71" s="24" t="s">
        <v>28</v>
      </c>
      <c r="AS71" s="25" t="s">
        <v>26</v>
      </c>
      <c r="AT71" s="22" t="s">
        <v>28</v>
      </c>
      <c r="AU71" s="113" t="s">
        <v>28</v>
      </c>
      <c r="AV71" s="119"/>
      <c r="AW71" s="187"/>
      <c r="AX71" s="187"/>
      <c r="AY71" s="187"/>
      <c r="AZ71" s="187"/>
      <c r="BA71" s="187"/>
      <c r="BB71" s="187"/>
      <c r="BC71" s="187"/>
      <c r="BD71" s="187"/>
      <c r="BE71" s="189"/>
    </row>
    <row r="72" spans="2:57" ht="15.95" customHeight="1" thickBot="1">
      <c r="B72" s="195"/>
      <c r="C72" s="70"/>
      <c r="D72" s="183"/>
      <c r="E72" s="184"/>
      <c r="F72" s="184"/>
      <c r="G72" s="184"/>
      <c r="H72" s="184"/>
      <c r="I72" s="184"/>
      <c r="J72" s="184"/>
      <c r="K72" s="185"/>
      <c r="L72" s="183"/>
      <c r="M72" s="184"/>
      <c r="N72" s="185"/>
      <c r="O72" s="66" t="s">
        <v>671</v>
      </c>
      <c r="P72" s="45"/>
      <c r="Q72" s="85"/>
      <c r="R72" s="21"/>
      <c r="S72" s="23"/>
      <c r="T72" s="137"/>
      <c r="U72" s="62"/>
      <c r="V72" s="62"/>
      <c r="W72" s="102"/>
      <c r="X72" s="85"/>
      <c r="Y72" s="21"/>
      <c r="Z72" s="23"/>
      <c r="AA72" s="137"/>
      <c r="AB72" s="62"/>
      <c r="AC72" s="62"/>
      <c r="AD72" s="102"/>
      <c r="AE72" s="85"/>
      <c r="AF72" s="21"/>
      <c r="AG72" s="23"/>
      <c r="AH72" s="137"/>
      <c r="AI72" s="62"/>
      <c r="AJ72" s="62"/>
      <c r="AK72" s="102"/>
      <c r="AL72" s="85"/>
      <c r="AM72" s="21"/>
      <c r="AN72" s="23"/>
      <c r="AO72" s="137"/>
      <c r="AP72" s="62"/>
      <c r="AQ72" s="62"/>
      <c r="AR72" s="102"/>
      <c r="AS72" s="85"/>
      <c r="AT72" s="82"/>
      <c r="AU72" s="62"/>
      <c r="AV72" s="128"/>
      <c r="AW72" s="187"/>
      <c r="AX72" s="187"/>
      <c r="AY72" s="187"/>
      <c r="AZ72" s="187"/>
      <c r="BA72" s="187"/>
      <c r="BB72" s="187"/>
      <c r="BC72" s="187"/>
      <c r="BD72" s="187"/>
      <c r="BE72" s="189"/>
    </row>
    <row r="73" spans="2:57" ht="15.95" customHeight="1">
      <c r="B73" s="193">
        <f>B69+1</f>
        <v>15</v>
      </c>
      <c r="C73" s="68"/>
      <c r="D73" s="177" t="s">
        <v>661</v>
      </c>
      <c r="E73" s="178"/>
      <c r="F73" s="178"/>
      <c r="G73" s="178"/>
      <c r="H73" s="178"/>
      <c r="I73" s="178"/>
      <c r="J73" s="178"/>
      <c r="K73" s="179"/>
      <c r="L73" s="177" t="s">
        <v>662</v>
      </c>
      <c r="M73" s="178"/>
      <c r="N73" s="179"/>
      <c r="O73" s="64" t="s">
        <v>668</v>
      </c>
      <c r="P73" s="47"/>
      <c r="Q73" s="77" t="s">
        <v>836</v>
      </c>
      <c r="R73" s="81" t="s">
        <v>844</v>
      </c>
      <c r="S73" s="81" t="s">
        <v>849</v>
      </c>
      <c r="T73" s="115" t="s">
        <v>843</v>
      </c>
      <c r="U73" s="140" t="s">
        <v>528</v>
      </c>
      <c r="V73" s="115" t="s">
        <v>852</v>
      </c>
      <c r="W73" s="79" t="s">
        <v>843</v>
      </c>
      <c r="X73" s="77" t="s">
        <v>843</v>
      </c>
      <c r="Y73" s="81" t="s">
        <v>841</v>
      </c>
      <c r="Z73" s="81" t="s">
        <v>842</v>
      </c>
      <c r="AA73" s="115" t="s">
        <v>843</v>
      </c>
      <c r="AB73" s="140" t="s">
        <v>839</v>
      </c>
      <c r="AC73" s="115" t="s">
        <v>843</v>
      </c>
      <c r="AD73" s="79" t="s">
        <v>844</v>
      </c>
      <c r="AE73" s="77" t="s">
        <v>843</v>
      </c>
      <c r="AF73" s="81" t="s">
        <v>839</v>
      </c>
      <c r="AG73" s="81" t="s">
        <v>843</v>
      </c>
      <c r="AH73" s="115" t="s">
        <v>458</v>
      </c>
      <c r="AI73" s="140" t="s">
        <v>842</v>
      </c>
      <c r="AJ73" s="115" t="s">
        <v>687</v>
      </c>
      <c r="AK73" s="79" t="s">
        <v>852</v>
      </c>
      <c r="AL73" s="77" t="s">
        <v>840</v>
      </c>
      <c r="AM73" s="81" t="s">
        <v>624</v>
      </c>
      <c r="AN73" s="81" t="s">
        <v>110</v>
      </c>
      <c r="AO73" s="115" t="s">
        <v>840</v>
      </c>
      <c r="AP73" s="140" t="s">
        <v>842</v>
      </c>
      <c r="AQ73" s="140" t="s">
        <v>842</v>
      </c>
      <c r="AR73" s="79" t="s">
        <v>841</v>
      </c>
      <c r="AS73" s="77" t="s">
        <v>849</v>
      </c>
      <c r="AT73" s="81" t="s">
        <v>843</v>
      </c>
      <c r="AU73" s="115" t="s">
        <v>734</v>
      </c>
      <c r="AV73" s="121"/>
      <c r="AW73" s="186">
        <f>COUNTIF(Q75:AT75,$AW$10)</f>
        <v>29</v>
      </c>
      <c r="AX73" s="186">
        <f>COUNTIF(Q75:AT75,$AX$10)</f>
        <v>0</v>
      </c>
      <c r="AY73" s="186">
        <f>COUNTIF(Q75:AT75,$AY$10)</f>
        <v>1</v>
      </c>
      <c r="AZ73" s="186">
        <f>COUNTIF(Q75:AT75,$AZ$10)</f>
        <v>0</v>
      </c>
      <c r="BA73" s="186">
        <f>COUNTIF(Q75:AT75,$BA$10)</f>
        <v>0</v>
      </c>
      <c r="BB73" s="186">
        <f>COUNTIF(Q75:AT75,$BB$10)</f>
        <v>0</v>
      </c>
      <c r="BC73" s="186">
        <f>COUNTIF(Q75:AT75,$BC$10)</f>
        <v>0</v>
      </c>
      <c r="BD73" s="186">
        <f>COUNTIF(Q75:AT75,$BD$10)</f>
        <v>0</v>
      </c>
      <c r="BE73" s="188">
        <f>SUM(Q76:AT76)</f>
        <v>116</v>
      </c>
    </row>
    <row r="74" spans="2:57" ht="15.95" customHeight="1">
      <c r="B74" s="194"/>
      <c r="C74" s="69"/>
      <c r="D74" s="180"/>
      <c r="E74" s="181"/>
      <c r="F74" s="181"/>
      <c r="G74" s="181"/>
      <c r="H74" s="181"/>
      <c r="I74" s="181"/>
      <c r="J74" s="181"/>
      <c r="K74" s="182"/>
      <c r="L74" s="180"/>
      <c r="M74" s="181"/>
      <c r="N74" s="182"/>
      <c r="O74" s="65" t="s">
        <v>669</v>
      </c>
      <c r="P74" s="44"/>
      <c r="Q74" s="76" t="s">
        <v>387</v>
      </c>
      <c r="R74" s="80" t="s">
        <v>844</v>
      </c>
      <c r="S74" s="80" t="s">
        <v>624</v>
      </c>
      <c r="T74" s="114" t="s">
        <v>369</v>
      </c>
      <c r="U74" s="141" t="s">
        <v>846</v>
      </c>
      <c r="V74" s="114" t="s">
        <v>847</v>
      </c>
      <c r="W74" s="72" t="s">
        <v>848</v>
      </c>
      <c r="X74" s="76" t="s">
        <v>1546</v>
      </c>
      <c r="Y74" s="80" t="s">
        <v>406</v>
      </c>
      <c r="Z74" s="80" t="s">
        <v>624</v>
      </c>
      <c r="AA74" s="114" t="s">
        <v>854</v>
      </c>
      <c r="AB74" s="141" t="s">
        <v>760</v>
      </c>
      <c r="AC74" s="114" t="s">
        <v>846</v>
      </c>
      <c r="AD74" s="72" t="s">
        <v>844</v>
      </c>
      <c r="AE74" s="76"/>
      <c r="AF74" s="80" t="s">
        <v>406</v>
      </c>
      <c r="AG74" s="80" t="s">
        <v>406</v>
      </c>
      <c r="AH74" s="114" t="s">
        <v>387</v>
      </c>
      <c r="AI74" s="141" t="s">
        <v>387</v>
      </c>
      <c r="AJ74" s="114" t="s">
        <v>844</v>
      </c>
      <c r="AK74" s="72" t="s">
        <v>844</v>
      </c>
      <c r="AL74" s="76" t="s">
        <v>760</v>
      </c>
      <c r="AM74" s="80" t="s">
        <v>624</v>
      </c>
      <c r="AN74" s="80" t="s">
        <v>814</v>
      </c>
      <c r="AO74" s="114" t="s">
        <v>814</v>
      </c>
      <c r="AP74" s="141" t="s">
        <v>624</v>
      </c>
      <c r="AQ74" s="141" t="s">
        <v>846</v>
      </c>
      <c r="AR74" s="72" t="s">
        <v>844</v>
      </c>
      <c r="AS74" s="76" t="s">
        <v>846</v>
      </c>
      <c r="AT74" s="80" t="s">
        <v>843</v>
      </c>
      <c r="AU74" s="114" t="s">
        <v>734</v>
      </c>
      <c r="AV74" s="120"/>
      <c r="AW74" s="187"/>
      <c r="AX74" s="187"/>
      <c r="AY74" s="187"/>
      <c r="AZ74" s="187"/>
      <c r="BA74" s="187"/>
      <c r="BB74" s="187"/>
      <c r="BC74" s="187"/>
      <c r="BD74" s="187"/>
      <c r="BE74" s="189"/>
    </row>
    <row r="75" spans="2:57" ht="15.95" customHeight="1">
      <c r="B75" s="194"/>
      <c r="C75" s="69"/>
      <c r="D75" s="180"/>
      <c r="E75" s="181"/>
      <c r="F75" s="181"/>
      <c r="G75" s="181"/>
      <c r="H75" s="181"/>
      <c r="I75" s="181"/>
      <c r="J75" s="181"/>
      <c r="K75" s="182"/>
      <c r="L75" s="180"/>
      <c r="M75" s="181"/>
      <c r="N75" s="182"/>
      <c r="O75" s="65" t="s">
        <v>670</v>
      </c>
      <c r="P75" s="44"/>
      <c r="Q75" s="25" t="s">
        <v>28</v>
      </c>
      <c r="R75" s="22" t="s">
        <v>28</v>
      </c>
      <c r="S75" s="22" t="s">
        <v>28</v>
      </c>
      <c r="T75" s="113" t="s">
        <v>28</v>
      </c>
      <c r="U75" s="113" t="s">
        <v>28</v>
      </c>
      <c r="V75" s="22" t="s">
        <v>28</v>
      </c>
      <c r="W75" s="24" t="s">
        <v>28</v>
      </c>
      <c r="X75" s="25" t="s">
        <v>28</v>
      </c>
      <c r="Y75" s="22" t="s">
        <v>28</v>
      </c>
      <c r="Z75" s="22" t="s">
        <v>28</v>
      </c>
      <c r="AA75" s="113" t="s">
        <v>28</v>
      </c>
      <c r="AB75" s="138" t="s">
        <v>28</v>
      </c>
      <c r="AC75" s="22" t="s">
        <v>28</v>
      </c>
      <c r="AD75" s="24" t="s">
        <v>28</v>
      </c>
      <c r="AE75" s="25" t="s">
        <v>26</v>
      </c>
      <c r="AF75" s="22" t="s">
        <v>28</v>
      </c>
      <c r="AG75" s="22" t="s">
        <v>28</v>
      </c>
      <c r="AH75" s="22" t="s">
        <v>28</v>
      </c>
      <c r="AI75" s="22" t="s">
        <v>28</v>
      </c>
      <c r="AJ75" s="22" t="s">
        <v>28</v>
      </c>
      <c r="AK75" s="24" t="s">
        <v>28</v>
      </c>
      <c r="AL75" s="25" t="s">
        <v>28</v>
      </c>
      <c r="AM75" s="22" t="s">
        <v>28</v>
      </c>
      <c r="AN75" s="22" t="s">
        <v>28</v>
      </c>
      <c r="AO75" s="22" t="s">
        <v>28</v>
      </c>
      <c r="AP75" s="22" t="s">
        <v>28</v>
      </c>
      <c r="AQ75" s="22" t="s">
        <v>28</v>
      </c>
      <c r="AR75" s="24" t="s">
        <v>28</v>
      </c>
      <c r="AS75" s="25" t="s">
        <v>28</v>
      </c>
      <c r="AT75" s="22" t="s">
        <v>28</v>
      </c>
      <c r="AU75" s="113" t="s">
        <v>26</v>
      </c>
      <c r="AV75" s="119"/>
      <c r="AW75" s="187"/>
      <c r="AX75" s="187"/>
      <c r="AY75" s="187"/>
      <c r="AZ75" s="187"/>
      <c r="BA75" s="187"/>
      <c r="BB75" s="187"/>
      <c r="BC75" s="187"/>
      <c r="BD75" s="187"/>
      <c r="BE75" s="189"/>
    </row>
    <row r="76" spans="2:57" ht="15.95" customHeight="1" thickBot="1">
      <c r="B76" s="195"/>
      <c r="C76" s="71"/>
      <c r="D76" s="180"/>
      <c r="E76" s="181"/>
      <c r="F76" s="181"/>
      <c r="G76" s="181"/>
      <c r="H76" s="181"/>
      <c r="I76" s="181"/>
      <c r="J76" s="181"/>
      <c r="K76" s="182"/>
      <c r="L76" s="180"/>
      <c r="M76" s="181"/>
      <c r="N76" s="182"/>
      <c r="O76" s="67" t="s">
        <v>671</v>
      </c>
      <c r="P76" s="44"/>
      <c r="Q76" s="85">
        <v>4</v>
      </c>
      <c r="R76" s="21">
        <v>4</v>
      </c>
      <c r="S76" s="21">
        <v>4</v>
      </c>
      <c r="T76" s="21">
        <v>4</v>
      </c>
      <c r="U76" s="21">
        <v>4</v>
      </c>
      <c r="V76" s="21">
        <v>4</v>
      </c>
      <c r="W76" s="102">
        <v>4</v>
      </c>
      <c r="X76" s="85">
        <v>4</v>
      </c>
      <c r="Y76" s="21">
        <v>4</v>
      </c>
      <c r="Z76" s="21">
        <v>4</v>
      </c>
      <c r="AA76" s="21">
        <v>4</v>
      </c>
      <c r="AB76" s="21">
        <v>4</v>
      </c>
      <c r="AC76" s="21">
        <v>4</v>
      </c>
      <c r="AD76" s="102">
        <v>4</v>
      </c>
      <c r="AE76" s="85"/>
      <c r="AF76" s="21">
        <v>4</v>
      </c>
      <c r="AG76" s="21">
        <v>4</v>
      </c>
      <c r="AH76" s="21">
        <v>4</v>
      </c>
      <c r="AI76" s="21">
        <v>4</v>
      </c>
      <c r="AJ76" s="21">
        <v>4</v>
      </c>
      <c r="AK76" s="102">
        <v>4</v>
      </c>
      <c r="AL76" s="85">
        <v>4</v>
      </c>
      <c r="AM76" s="21">
        <v>4</v>
      </c>
      <c r="AN76" s="21">
        <v>4</v>
      </c>
      <c r="AO76" s="21">
        <v>4</v>
      </c>
      <c r="AP76" s="21">
        <v>4</v>
      </c>
      <c r="AQ76" s="21">
        <v>4</v>
      </c>
      <c r="AR76" s="102">
        <v>4</v>
      </c>
      <c r="AS76" s="85">
        <v>4</v>
      </c>
      <c r="AT76" s="82">
        <v>4</v>
      </c>
      <c r="AU76" s="62"/>
      <c r="AV76" s="124"/>
      <c r="AW76" s="187"/>
      <c r="AX76" s="187"/>
      <c r="AY76" s="187"/>
      <c r="AZ76" s="187"/>
      <c r="BA76" s="187"/>
      <c r="BB76" s="187"/>
      <c r="BC76" s="187"/>
      <c r="BD76" s="187"/>
      <c r="BE76" s="189"/>
    </row>
    <row r="77" spans="2:57" ht="15.95" customHeight="1">
      <c r="B77" s="193">
        <f>B73+1</f>
        <v>16</v>
      </c>
      <c r="C77" s="68"/>
      <c r="D77" s="177" t="s">
        <v>658</v>
      </c>
      <c r="E77" s="178"/>
      <c r="F77" s="178"/>
      <c r="G77" s="178"/>
      <c r="H77" s="178"/>
      <c r="I77" s="178"/>
      <c r="J77" s="178"/>
      <c r="K77" s="179"/>
      <c r="L77" s="177" t="s">
        <v>368</v>
      </c>
      <c r="M77" s="178"/>
      <c r="N77" s="179"/>
      <c r="O77" s="64" t="s">
        <v>668</v>
      </c>
      <c r="P77" s="47"/>
      <c r="Q77" s="77" t="s">
        <v>734</v>
      </c>
      <c r="R77" s="81" t="s">
        <v>842</v>
      </c>
      <c r="S77" s="81" t="s">
        <v>849</v>
      </c>
      <c r="T77" s="115" t="s">
        <v>838</v>
      </c>
      <c r="U77" s="140" t="s">
        <v>837</v>
      </c>
      <c r="V77" s="115" t="s">
        <v>1592</v>
      </c>
      <c r="W77" s="79" t="s">
        <v>837</v>
      </c>
      <c r="X77" s="77" t="s">
        <v>839</v>
      </c>
      <c r="Y77" s="81" t="s">
        <v>734</v>
      </c>
      <c r="Z77" s="81" t="s">
        <v>734</v>
      </c>
      <c r="AA77" s="115" t="s">
        <v>734</v>
      </c>
      <c r="AB77" s="140" t="s">
        <v>734</v>
      </c>
      <c r="AC77" s="115" t="s">
        <v>734</v>
      </c>
      <c r="AD77" s="79" t="s">
        <v>734</v>
      </c>
      <c r="AE77" s="77" t="s">
        <v>734</v>
      </c>
      <c r="AF77" s="81" t="s">
        <v>734</v>
      </c>
      <c r="AG77" s="81" t="s">
        <v>734</v>
      </c>
      <c r="AH77" s="115" t="s">
        <v>734</v>
      </c>
      <c r="AI77" s="140" t="s">
        <v>734</v>
      </c>
      <c r="AJ77" s="115" t="s">
        <v>734</v>
      </c>
      <c r="AK77" s="79" t="s">
        <v>734</v>
      </c>
      <c r="AL77" s="77" t="s">
        <v>734</v>
      </c>
      <c r="AM77" s="81" t="s">
        <v>836</v>
      </c>
      <c r="AN77" s="81" t="s">
        <v>840</v>
      </c>
      <c r="AO77" s="115" t="s">
        <v>839</v>
      </c>
      <c r="AP77" s="140" t="s">
        <v>852</v>
      </c>
      <c r="AQ77" s="140" t="s">
        <v>687</v>
      </c>
      <c r="AR77" s="79" t="s">
        <v>836</v>
      </c>
      <c r="AS77" s="77" t="s">
        <v>843</v>
      </c>
      <c r="AT77" s="81" t="s">
        <v>814</v>
      </c>
      <c r="AU77" s="115" t="s">
        <v>842</v>
      </c>
      <c r="AV77" s="121"/>
      <c r="AW77" s="186">
        <f>COUNTIF(Q79:AT79,$AW$10)</f>
        <v>15</v>
      </c>
      <c r="AX77" s="186">
        <f>COUNTIF(Q79:AT79,$AX$10)</f>
        <v>0</v>
      </c>
      <c r="AY77" s="186">
        <f>COUNTIF(Q79:AT79,$AY$10)</f>
        <v>8</v>
      </c>
      <c r="AZ77" s="186">
        <f>COUNTIF(Q79:AT79,$AZ$10)</f>
        <v>7</v>
      </c>
      <c r="BA77" s="186">
        <f>COUNTIF(Q79:AT79,$BA$10)</f>
        <v>0</v>
      </c>
      <c r="BB77" s="186">
        <f>COUNTIF(Q79:AT79,$BB$10)</f>
        <v>0</v>
      </c>
      <c r="BC77" s="186">
        <f>COUNTIF(Q79:AT79,$BC$10)</f>
        <v>0</v>
      </c>
      <c r="BD77" s="186">
        <f>COUNTIF(Q79:AT79,$BD$10)</f>
        <v>0</v>
      </c>
      <c r="BE77" s="188">
        <f>SUM(Q80:AT80)</f>
        <v>60</v>
      </c>
    </row>
    <row r="78" spans="2:57" ht="15.95" customHeight="1">
      <c r="B78" s="194"/>
      <c r="C78" s="69"/>
      <c r="D78" s="180"/>
      <c r="E78" s="181"/>
      <c r="F78" s="181"/>
      <c r="G78" s="181"/>
      <c r="H78" s="181"/>
      <c r="I78" s="181"/>
      <c r="J78" s="181"/>
      <c r="K78" s="182"/>
      <c r="L78" s="180"/>
      <c r="M78" s="181"/>
      <c r="N78" s="182"/>
      <c r="O78" s="65" t="s">
        <v>669</v>
      </c>
      <c r="P78" s="44"/>
      <c r="Q78" s="76" t="s">
        <v>734</v>
      </c>
      <c r="R78" s="80" t="s">
        <v>760</v>
      </c>
      <c r="S78" s="80" t="s">
        <v>760</v>
      </c>
      <c r="T78" s="114" t="s">
        <v>740</v>
      </c>
      <c r="U78" s="141" t="s">
        <v>760</v>
      </c>
      <c r="V78" s="114" t="s">
        <v>387</v>
      </c>
      <c r="W78" s="72" t="s">
        <v>767</v>
      </c>
      <c r="X78" s="76" t="s">
        <v>844</v>
      </c>
      <c r="Y78" s="80" t="s">
        <v>734</v>
      </c>
      <c r="Z78" s="80" t="s">
        <v>734</v>
      </c>
      <c r="AA78" s="114" t="s">
        <v>734</v>
      </c>
      <c r="AB78" s="141" t="s">
        <v>734</v>
      </c>
      <c r="AC78" s="114" t="s">
        <v>734</v>
      </c>
      <c r="AD78" s="72" t="s">
        <v>734</v>
      </c>
      <c r="AE78" s="76" t="s">
        <v>734</v>
      </c>
      <c r="AF78" s="80" t="s">
        <v>734</v>
      </c>
      <c r="AG78" s="80" t="s">
        <v>734</v>
      </c>
      <c r="AH78" s="114" t="s">
        <v>734</v>
      </c>
      <c r="AI78" s="141" t="s">
        <v>734</v>
      </c>
      <c r="AJ78" s="114" t="s">
        <v>734</v>
      </c>
      <c r="AK78" s="72" t="s">
        <v>734</v>
      </c>
      <c r="AL78" s="76" t="s">
        <v>734</v>
      </c>
      <c r="AM78" s="80" t="s">
        <v>767</v>
      </c>
      <c r="AN78" s="80" t="s">
        <v>406</v>
      </c>
      <c r="AO78" s="114" t="s">
        <v>763</v>
      </c>
      <c r="AP78" s="141" t="s">
        <v>760</v>
      </c>
      <c r="AQ78" s="141" t="s">
        <v>1532</v>
      </c>
      <c r="AR78" s="72" t="s">
        <v>1542</v>
      </c>
      <c r="AS78" s="76" t="s">
        <v>846</v>
      </c>
      <c r="AT78" s="80" t="s">
        <v>814</v>
      </c>
      <c r="AU78" s="114" t="s">
        <v>814</v>
      </c>
      <c r="AV78" s="120"/>
      <c r="AW78" s="187"/>
      <c r="AX78" s="187"/>
      <c r="AY78" s="187"/>
      <c r="AZ78" s="187"/>
      <c r="BA78" s="187"/>
      <c r="BB78" s="187"/>
      <c r="BC78" s="187"/>
      <c r="BD78" s="187"/>
      <c r="BE78" s="189"/>
    </row>
    <row r="79" spans="2:57" ht="15.95" customHeight="1">
      <c r="B79" s="194"/>
      <c r="C79" s="69"/>
      <c r="D79" s="180"/>
      <c r="E79" s="181"/>
      <c r="F79" s="181"/>
      <c r="G79" s="181"/>
      <c r="H79" s="181"/>
      <c r="I79" s="181"/>
      <c r="J79" s="181"/>
      <c r="K79" s="182"/>
      <c r="L79" s="180"/>
      <c r="M79" s="181"/>
      <c r="N79" s="182"/>
      <c r="O79" s="65" t="s">
        <v>670</v>
      </c>
      <c r="P79" s="44"/>
      <c r="Q79" s="25" t="s">
        <v>26</v>
      </c>
      <c r="R79" s="22" t="s">
        <v>28</v>
      </c>
      <c r="S79" s="22" t="s">
        <v>28</v>
      </c>
      <c r="T79" s="113" t="s">
        <v>28</v>
      </c>
      <c r="U79" s="113" t="s">
        <v>28</v>
      </c>
      <c r="V79" s="22" t="s">
        <v>28</v>
      </c>
      <c r="W79" s="24" t="s">
        <v>28</v>
      </c>
      <c r="X79" s="25" t="s">
        <v>28</v>
      </c>
      <c r="Y79" s="22" t="s">
        <v>30</v>
      </c>
      <c r="Z79" s="22" t="s">
        <v>30</v>
      </c>
      <c r="AA79" s="22" t="s">
        <v>30</v>
      </c>
      <c r="AB79" s="22" t="s">
        <v>30</v>
      </c>
      <c r="AC79" s="22" t="s">
        <v>30</v>
      </c>
      <c r="AD79" s="24" t="s">
        <v>30</v>
      </c>
      <c r="AE79" s="25" t="s">
        <v>30</v>
      </c>
      <c r="AF79" s="22" t="s">
        <v>26</v>
      </c>
      <c r="AG79" s="22" t="s">
        <v>26</v>
      </c>
      <c r="AH79" s="22" t="s">
        <v>26</v>
      </c>
      <c r="AI79" s="22" t="s">
        <v>26</v>
      </c>
      <c r="AJ79" s="22" t="s">
        <v>26</v>
      </c>
      <c r="AK79" s="24" t="s">
        <v>26</v>
      </c>
      <c r="AL79" s="25" t="s">
        <v>26</v>
      </c>
      <c r="AM79" s="22" t="s">
        <v>28</v>
      </c>
      <c r="AN79" s="22" t="s">
        <v>28</v>
      </c>
      <c r="AO79" s="22" t="s">
        <v>28</v>
      </c>
      <c r="AP79" s="22" t="s">
        <v>28</v>
      </c>
      <c r="AQ79" s="22" t="s">
        <v>28</v>
      </c>
      <c r="AR79" s="24" t="s">
        <v>28</v>
      </c>
      <c r="AS79" s="25" t="s">
        <v>28</v>
      </c>
      <c r="AT79" s="22" t="s">
        <v>28</v>
      </c>
      <c r="AU79" s="113" t="s">
        <v>28</v>
      </c>
      <c r="AV79" s="119"/>
      <c r="AW79" s="187"/>
      <c r="AX79" s="187"/>
      <c r="AY79" s="187"/>
      <c r="AZ79" s="187"/>
      <c r="BA79" s="187"/>
      <c r="BB79" s="187"/>
      <c r="BC79" s="187"/>
      <c r="BD79" s="187"/>
      <c r="BE79" s="189"/>
    </row>
    <row r="80" spans="2:57" ht="15.95" customHeight="1" thickBot="1">
      <c r="B80" s="195"/>
      <c r="C80" s="70"/>
      <c r="D80" s="183"/>
      <c r="E80" s="184"/>
      <c r="F80" s="184"/>
      <c r="G80" s="184"/>
      <c r="H80" s="184"/>
      <c r="I80" s="184"/>
      <c r="J80" s="184"/>
      <c r="K80" s="185"/>
      <c r="L80" s="183"/>
      <c r="M80" s="184"/>
      <c r="N80" s="185"/>
      <c r="O80" s="66" t="s">
        <v>671</v>
      </c>
      <c r="P80" s="45"/>
      <c r="Q80" s="85"/>
      <c r="R80" s="21">
        <v>4</v>
      </c>
      <c r="S80" s="21">
        <v>4</v>
      </c>
      <c r="T80" s="21">
        <v>4</v>
      </c>
      <c r="U80" s="21">
        <v>4</v>
      </c>
      <c r="V80" s="21">
        <v>4</v>
      </c>
      <c r="W80" s="102">
        <v>4</v>
      </c>
      <c r="X80" s="85">
        <v>4</v>
      </c>
      <c r="Y80" s="21"/>
      <c r="Z80" s="23"/>
      <c r="AA80" s="137"/>
      <c r="AB80" s="62"/>
      <c r="AC80" s="62"/>
      <c r="AD80" s="102"/>
      <c r="AE80" s="85"/>
      <c r="AF80" s="21"/>
      <c r="AG80" s="23"/>
      <c r="AH80" s="137"/>
      <c r="AI80" s="62"/>
      <c r="AJ80" s="62"/>
      <c r="AK80" s="102"/>
      <c r="AL80" s="85"/>
      <c r="AM80" s="21">
        <v>4</v>
      </c>
      <c r="AN80" s="21">
        <v>4</v>
      </c>
      <c r="AO80" s="21">
        <v>4</v>
      </c>
      <c r="AP80" s="21">
        <v>4</v>
      </c>
      <c r="AQ80" s="21">
        <v>4</v>
      </c>
      <c r="AR80" s="102">
        <v>4</v>
      </c>
      <c r="AS80" s="85">
        <v>4</v>
      </c>
      <c r="AT80" s="82">
        <v>4</v>
      </c>
      <c r="AU80" s="62">
        <v>4</v>
      </c>
      <c r="AV80" s="124"/>
      <c r="AW80" s="187"/>
      <c r="AX80" s="187"/>
      <c r="AY80" s="187"/>
      <c r="AZ80" s="187"/>
      <c r="BA80" s="187"/>
      <c r="BB80" s="187"/>
      <c r="BC80" s="187"/>
      <c r="BD80" s="187"/>
      <c r="BE80" s="189"/>
    </row>
    <row r="81" spans="2:57" ht="15.95" customHeight="1">
      <c r="B81" s="193">
        <f>B77+1</f>
        <v>17</v>
      </c>
      <c r="C81" s="68"/>
      <c r="D81" s="177" t="s">
        <v>659</v>
      </c>
      <c r="E81" s="178"/>
      <c r="F81" s="178"/>
      <c r="G81" s="178"/>
      <c r="H81" s="178"/>
      <c r="I81" s="178"/>
      <c r="J81" s="178"/>
      <c r="K81" s="179"/>
      <c r="L81" s="177" t="s">
        <v>368</v>
      </c>
      <c r="M81" s="178"/>
      <c r="N81" s="179"/>
      <c r="O81" s="64" t="s">
        <v>668</v>
      </c>
      <c r="P81" s="47"/>
      <c r="Q81" s="77" t="s">
        <v>849</v>
      </c>
      <c r="R81" s="81" t="s">
        <v>849</v>
      </c>
      <c r="S81" s="81" t="s">
        <v>734</v>
      </c>
      <c r="T81" s="115" t="s">
        <v>734</v>
      </c>
      <c r="U81" s="140" t="s">
        <v>734</v>
      </c>
      <c r="V81" s="115" t="s">
        <v>734</v>
      </c>
      <c r="W81" s="79" t="s">
        <v>734</v>
      </c>
      <c r="X81" s="77" t="s">
        <v>734</v>
      </c>
      <c r="Y81" s="81" t="s">
        <v>910</v>
      </c>
      <c r="Z81" s="81" t="s">
        <v>840</v>
      </c>
      <c r="AA81" s="115" t="s">
        <v>840</v>
      </c>
      <c r="AB81" s="140" t="s">
        <v>851</v>
      </c>
      <c r="AC81" s="115" t="s">
        <v>850</v>
      </c>
      <c r="AD81" s="79" t="s">
        <v>841</v>
      </c>
      <c r="AE81" s="77" t="s">
        <v>840</v>
      </c>
      <c r="AF81" s="81" t="s">
        <v>841</v>
      </c>
      <c r="AG81" s="81" t="s">
        <v>458</v>
      </c>
      <c r="AH81" s="115" t="s">
        <v>376</v>
      </c>
      <c r="AI81" s="140" t="s">
        <v>849</v>
      </c>
      <c r="AJ81" s="115" t="s">
        <v>458</v>
      </c>
      <c r="AK81" s="79" t="s">
        <v>842</v>
      </c>
      <c r="AL81" s="77" t="s">
        <v>221</v>
      </c>
      <c r="AM81" s="81" t="s">
        <v>806</v>
      </c>
      <c r="AN81" s="81" t="s">
        <v>734</v>
      </c>
      <c r="AO81" s="115" t="s">
        <v>734</v>
      </c>
      <c r="AP81" s="140" t="s">
        <v>734</v>
      </c>
      <c r="AQ81" s="140" t="s">
        <v>734</v>
      </c>
      <c r="AR81" s="79" t="s">
        <v>734</v>
      </c>
      <c r="AS81" s="77" t="s">
        <v>734</v>
      </c>
      <c r="AT81" s="81" t="s">
        <v>852</v>
      </c>
      <c r="AU81" s="115" t="s">
        <v>839</v>
      </c>
      <c r="AV81" s="121"/>
      <c r="AW81" s="186">
        <f>COUNTIF(Q83:AT83,$AW$10)</f>
        <v>16</v>
      </c>
      <c r="AX81" s="186">
        <f>COUNTIF(Q83:AT83,$AX$10)</f>
        <v>0</v>
      </c>
      <c r="AY81" s="186">
        <f>COUNTIF(Q83:AT83,$AY$10)</f>
        <v>12</v>
      </c>
      <c r="AZ81" s="186">
        <f>COUNTIF(Q83:AT83,$AZ$10)</f>
        <v>2</v>
      </c>
      <c r="BA81" s="186">
        <f>COUNTIF(Q83:AT83,$BA$10)</f>
        <v>0</v>
      </c>
      <c r="BB81" s="186">
        <f>COUNTIF(Q83:AT83,$BB$10)</f>
        <v>0</v>
      </c>
      <c r="BC81" s="186">
        <f>COUNTIF(Q83:AT83,$BC$10)</f>
        <v>0</v>
      </c>
      <c r="BD81" s="186">
        <f>COUNTIF(Q83:AT83,$BD$10)</f>
        <v>0</v>
      </c>
      <c r="BE81" s="188">
        <f>SUM(Q84:AT84)</f>
        <v>60</v>
      </c>
    </row>
    <row r="82" spans="2:57" ht="15.95" customHeight="1">
      <c r="B82" s="194"/>
      <c r="C82" s="69"/>
      <c r="D82" s="180"/>
      <c r="E82" s="181"/>
      <c r="F82" s="181"/>
      <c r="G82" s="181"/>
      <c r="H82" s="181"/>
      <c r="I82" s="181"/>
      <c r="J82" s="181"/>
      <c r="K82" s="182"/>
      <c r="L82" s="180"/>
      <c r="M82" s="181"/>
      <c r="N82" s="182"/>
      <c r="O82" s="65" t="s">
        <v>669</v>
      </c>
      <c r="P82" s="44"/>
      <c r="Q82" s="76" t="s">
        <v>1524</v>
      </c>
      <c r="R82" s="80"/>
      <c r="S82" s="80" t="s">
        <v>734</v>
      </c>
      <c r="T82" s="114" t="s">
        <v>734</v>
      </c>
      <c r="U82" s="141" t="s">
        <v>734</v>
      </c>
      <c r="V82" s="114" t="s">
        <v>734</v>
      </c>
      <c r="W82" s="72" t="s">
        <v>734</v>
      </c>
      <c r="X82" s="76" t="s">
        <v>734</v>
      </c>
      <c r="Y82" s="80" t="s">
        <v>688</v>
      </c>
      <c r="Z82" s="80" t="s">
        <v>387</v>
      </c>
      <c r="AA82" s="114" t="s">
        <v>848</v>
      </c>
      <c r="AB82" s="141" t="s">
        <v>767</v>
      </c>
      <c r="AC82" s="114" t="s">
        <v>1593</v>
      </c>
      <c r="AD82" s="72" t="s">
        <v>763</v>
      </c>
      <c r="AE82" s="76"/>
      <c r="AF82" s="80" t="s">
        <v>1594</v>
      </c>
      <c r="AG82" s="80" t="s">
        <v>760</v>
      </c>
      <c r="AH82" s="114" t="s">
        <v>760</v>
      </c>
      <c r="AI82" s="141" t="s">
        <v>763</v>
      </c>
      <c r="AJ82" s="114" t="s">
        <v>767</v>
      </c>
      <c r="AK82" s="72" t="s">
        <v>844</v>
      </c>
      <c r="AL82" s="76" t="s">
        <v>1595</v>
      </c>
      <c r="AM82" s="80"/>
      <c r="AN82" s="80" t="s">
        <v>734</v>
      </c>
      <c r="AO82" s="114" t="s">
        <v>734</v>
      </c>
      <c r="AP82" s="141" t="s">
        <v>734</v>
      </c>
      <c r="AQ82" s="141" t="s">
        <v>734</v>
      </c>
      <c r="AR82" s="72" t="s">
        <v>734</v>
      </c>
      <c r="AS82" s="76" t="s">
        <v>734</v>
      </c>
      <c r="AT82" s="80" t="s">
        <v>387</v>
      </c>
      <c r="AU82" s="114" t="s">
        <v>854</v>
      </c>
      <c r="AV82" s="120"/>
      <c r="AW82" s="187"/>
      <c r="AX82" s="187"/>
      <c r="AY82" s="187"/>
      <c r="AZ82" s="187"/>
      <c r="BA82" s="187"/>
      <c r="BB82" s="187"/>
      <c r="BC82" s="187"/>
      <c r="BD82" s="187"/>
      <c r="BE82" s="189"/>
    </row>
    <row r="83" spans="2:57" ht="15.95" customHeight="1">
      <c r="B83" s="194"/>
      <c r="C83" s="69"/>
      <c r="D83" s="180"/>
      <c r="E83" s="181"/>
      <c r="F83" s="181"/>
      <c r="G83" s="181"/>
      <c r="H83" s="181"/>
      <c r="I83" s="181"/>
      <c r="J83" s="181"/>
      <c r="K83" s="182"/>
      <c r="L83" s="180"/>
      <c r="M83" s="181"/>
      <c r="N83" s="182"/>
      <c r="O83" s="65" t="s">
        <v>670</v>
      </c>
      <c r="P83" s="44"/>
      <c r="Q83" s="25" t="s">
        <v>28</v>
      </c>
      <c r="R83" s="22" t="s">
        <v>26</v>
      </c>
      <c r="S83" s="22" t="s">
        <v>26</v>
      </c>
      <c r="T83" s="113" t="s">
        <v>26</v>
      </c>
      <c r="U83" s="113" t="s">
        <v>30</v>
      </c>
      <c r="V83" s="22" t="s">
        <v>30</v>
      </c>
      <c r="W83" s="24" t="s">
        <v>26</v>
      </c>
      <c r="X83" s="25" t="s">
        <v>26</v>
      </c>
      <c r="Y83" s="22" t="s">
        <v>28</v>
      </c>
      <c r="Z83" s="22" t="s">
        <v>28</v>
      </c>
      <c r="AA83" s="113" t="s">
        <v>28</v>
      </c>
      <c r="AB83" s="138" t="s">
        <v>28</v>
      </c>
      <c r="AC83" s="22" t="s">
        <v>28</v>
      </c>
      <c r="AD83" s="24" t="s">
        <v>28</v>
      </c>
      <c r="AE83" s="25" t="s">
        <v>28</v>
      </c>
      <c r="AF83" s="22" t="s">
        <v>28</v>
      </c>
      <c r="AG83" s="22" t="s">
        <v>28</v>
      </c>
      <c r="AH83" s="22" t="s">
        <v>28</v>
      </c>
      <c r="AI83" s="22" t="s">
        <v>28</v>
      </c>
      <c r="AJ83" s="22" t="s">
        <v>28</v>
      </c>
      <c r="AK83" s="24" t="s">
        <v>28</v>
      </c>
      <c r="AL83" s="25" t="s">
        <v>28</v>
      </c>
      <c r="AM83" s="22" t="s">
        <v>26</v>
      </c>
      <c r="AN83" s="22" t="s">
        <v>26</v>
      </c>
      <c r="AO83" s="22" t="s">
        <v>26</v>
      </c>
      <c r="AP83" s="22" t="s">
        <v>26</v>
      </c>
      <c r="AQ83" s="22" t="s">
        <v>26</v>
      </c>
      <c r="AR83" s="24" t="s">
        <v>26</v>
      </c>
      <c r="AS83" s="25" t="s">
        <v>26</v>
      </c>
      <c r="AT83" s="22" t="s">
        <v>28</v>
      </c>
      <c r="AU83" s="113" t="s">
        <v>28</v>
      </c>
      <c r="AV83" s="119"/>
      <c r="AW83" s="187"/>
      <c r="AX83" s="187"/>
      <c r="AY83" s="187"/>
      <c r="AZ83" s="187"/>
      <c r="BA83" s="187"/>
      <c r="BB83" s="187"/>
      <c r="BC83" s="187"/>
      <c r="BD83" s="187"/>
      <c r="BE83" s="189"/>
    </row>
    <row r="84" spans="2:57" ht="15.95" customHeight="1" thickBot="1">
      <c r="B84" s="195"/>
      <c r="C84" s="70"/>
      <c r="D84" s="183"/>
      <c r="E84" s="184"/>
      <c r="F84" s="184"/>
      <c r="G84" s="184"/>
      <c r="H84" s="184"/>
      <c r="I84" s="184"/>
      <c r="J84" s="184"/>
      <c r="K84" s="185"/>
      <c r="L84" s="183"/>
      <c r="M84" s="184"/>
      <c r="N84" s="185"/>
      <c r="O84" s="66" t="s">
        <v>671</v>
      </c>
      <c r="P84" s="45"/>
      <c r="Q84" s="85">
        <v>4</v>
      </c>
      <c r="R84" s="21"/>
      <c r="S84" s="23"/>
      <c r="T84" s="137"/>
      <c r="U84" s="62"/>
      <c r="V84" s="62"/>
      <c r="W84" s="102"/>
      <c r="X84" s="85"/>
      <c r="Y84" s="21">
        <v>4</v>
      </c>
      <c r="Z84" s="21">
        <v>4</v>
      </c>
      <c r="AA84" s="137">
        <v>4</v>
      </c>
      <c r="AB84" s="62">
        <v>4</v>
      </c>
      <c r="AC84" s="62">
        <v>4</v>
      </c>
      <c r="AD84" s="102">
        <v>4</v>
      </c>
      <c r="AE84" s="85"/>
      <c r="AF84" s="21">
        <v>4</v>
      </c>
      <c r="AG84" s="23">
        <v>4</v>
      </c>
      <c r="AH84" s="137">
        <v>4</v>
      </c>
      <c r="AI84" s="62">
        <v>4</v>
      </c>
      <c r="AJ84" s="62">
        <v>4</v>
      </c>
      <c r="AK84" s="102">
        <v>4</v>
      </c>
      <c r="AL84" s="85">
        <v>4</v>
      </c>
      <c r="AM84" s="21"/>
      <c r="AN84" s="23"/>
      <c r="AO84" s="137"/>
      <c r="AP84" s="62"/>
      <c r="AQ84" s="62"/>
      <c r="AR84" s="102"/>
      <c r="AS84" s="85"/>
      <c r="AT84" s="82">
        <v>4</v>
      </c>
      <c r="AU84" s="62">
        <v>4</v>
      </c>
      <c r="AV84" s="124"/>
      <c r="AW84" s="187"/>
      <c r="AX84" s="187"/>
      <c r="AY84" s="187"/>
      <c r="AZ84" s="187"/>
      <c r="BA84" s="187"/>
      <c r="BB84" s="187"/>
      <c r="BC84" s="187"/>
      <c r="BD84" s="187"/>
      <c r="BE84" s="189"/>
    </row>
    <row r="85" spans="2:57" ht="15.95" customHeight="1">
      <c r="B85" s="193">
        <f>B81+1</f>
        <v>18</v>
      </c>
      <c r="C85" s="68"/>
      <c r="D85" s="177" t="s">
        <v>660</v>
      </c>
      <c r="E85" s="178"/>
      <c r="F85" s="178"/>
      <c r="G85" s="178"/>
      <c r="H85" s="178"/>
      <c r="I85" s="178"/>
      <c r="J85" s="178"/>
      <c r="K85" s="179"/>
      <c r="L85" s="177" t="s">
        <v>368</v>
      </c>
      <c r="M85" s="178"/>
      <c r="N85" s="179"/>
      <c r="O85" s="64" t="s">
        <v>668</v>
      </c>
      <c r="P85" s="47"/>
      <c r="Q85" s="77" t="s">
        <v>458</v>
      </c>
      <c r="R85" s="81" t="s">
        <v>458</v>
      </c>
      <c r="S85" s="81" t="s">
        <v>686</v>
      </c>
      <c r="T85" s="115" t="s">
        <v>840</v>
      </c>
      <c r="U85" s="140" t="s">
        <v>840</v>
      </c>
      <c r="V85" s="115" t="s">
        <v>628</v>
      </c>
      <c r="W85" s="79" t="s">
        <v>840</v>
      </c>
      <c r="X85" s="77" t="s">
        <v>840</v>
      </c>
      <c r="Y85" s="81" t="s">
        <v>841</v>
      </c>
      <c r="Z85" s="81" t="s">
        <v>843</v>
      </c>
      <c r="AA85" s="115" t="s">
        <v>843</v>
      </c>
      <c r="AB85" s="140" t="s">
        <v>843</v>
      </c>
      <c r="AC85" s="115" t="s">
        <v>850</v>
      </c>
      <c r="AD85" s="79" t="s">
        <v>841</v>
      </c>
      <c r="AE85" s="77" t="s">
        <v>458</v>
      </c>
      <c r="AF85" s="81" t="s">
        <v>842</v>
      </c>
      <c r="AG85" s="81" t="s">
        <v>849</v>
      </c>
      <c r="AH85" s="115" t="s">
        <v>849</v>
      </c>
      <c r="AI85" s="140" t="s">
        <v>458</v>
      </c>
      <c r="AJ85" s="115" t="s">
        <v>458</v>
      </c>
      <c r="AK85" s="79" t="s">
        <v>842</v>
      </c>
      <c r="AL85" s="77" t="s">
        <v>843</v>
      </c>
      <c r="AM85" s="81" t="s">
        <v>842</v>
      </c>
      <c r="AN85" s="81" t="s">
        <v>458</v>
      </c>
      <c r="AO85" s="115" t="s">
        <v>842</v>
      </c>
      <c r="AP85" s="140" t="s">
        <v>842</v>
      </c>
      <c r="AQ85" s="140" t="s">
        <v>840</v>
      </c>
      <c r="AR85" s="79" t="s">
        <v>842</v>
      </c>
      <c r="AS85" s="77" t="s">
        <v>686</v>
      </c>
      <c r="AT85" s="81" t="s">
        <v>1596</v>
      </c>
      <c r="AU85" s="115" t="s">
        <v>843</v>
      </c>
      <c r="AV85" s="121"/>
      <c r="AW85" s="186">
        <f>COUNTIF(Q87:AT87,$AW$10)</f>
        <v>30</v>
      </c>
      <c r="AX85" s="186">
        <f>COUNTIF(Q87:AT87,$AX$10)</f>
        <v>0</v>
      </c>
      <c r="AY85" s="186">
        <f>COUNTIF(Q87:AT87,$AY$10)</f>
        <v>0</v>
      </c>
      <c r="AZ85" s="186">
        <f>COUNTIF(Q87:AT87,$AZ$10)</f>
        <v>0</v>
      </c>
      <c r="BA85" s="186">
        <f>COUNTIF(Q87:AT87,$BA$10)</f>
        <v>0</v>
      </c>
      <c r="BB85" s="186">
        <f>COUNTIF(Q87:AT87,$BB$10)</f>
        <v>0</v>
      </c>
      <c r="BC85" s="186">
        <f>COUNTIF(Q87:AT87,$BC$10)</f>
        <v>0</v>
      </c>
      <c r="BD85" s="186">
        <f>COUNTIF(Q87:AT87,$BD$10)</f>
        <v>0</v>
      </c>
      <c r="BE85" s="188">
        <f>SUM(Q88:AT88)</f>
        <v>120</v>
      </c>
    </row>
    <row r="86" spans="2:57" ht="15.95" customHeight="1">
      <c r="B86" s="194"/>
      <c r="C86" s="69"/>
      <c r="D86" s="180"/>
      <c r="E86" s="181"/>
      <c r="F86" s="181"/>
      <c r="G86" s="181"/>
      <c r="H86" s="181"/>
      <c r="I86" s="181"/>
      <c r="J86" s="181"/>
      <c r="K86" s="182"/>
      <c r="L86" s="180"/>
      <c r="M86" s="181"/>
      <c r="N86" s="182"/>
      <c r="O86" s="65" t="s">
        <v>669</v>
      </c>
      <c r="P86" s="44"/>
      <c r="Q86" s="76" t="s">
        <v>844</v>
      </c>
      <c r="R86" s="80" t="s">
        <v>767</v>
      </c>
      <c r="S86" s="80" t="s">
        <v>387</v>
      </c>
      <c r="T86" s="114" t="s">
        <v>1470</v>
      </c>
      <c r="U86" s="141" t="s">
        <v>767</v>
      </c>
      <c r="V86" s="114" t="s">
        <v>760</v>
      </c>
      <c r="W86" s="72" t="s">
        <v>760</v>
      </c>
      <c r="X86" s="76" t="s">
        <v>406</v>
      </c>
      <c r="Y86" s="80" t="s">
        <v>387</v>
      </c>
      <c r="Z86" s="80" t="s">
        <v>763</v>
      </c>
      <c r="AA86" s="114" t="s">
        <v>387</v>
      </c>
      <c r="AB86" s="141" t="s">
        <v>760</v>
      </c>
      <c r="AC86" s="114" t="s">
        <v>767</v>
      </c>
      <c r="AD86" s="72" t="s">
        <v>760</v>
      </c>
      <c r="AE86" s="76" t="s">
        <v>387</v>
      </c>
      <c r="AF86" s="80" t="s">
        <v>847</v>
      </c>
      <c r="AG86" s="80" t="s">
        <v>846</v>
      </c>
      <c r="AH86" s="114" t="s">
        <v>624</v>
      </c>
      <c r="AI86" s="141" t="s">
        <v>846</v>
      </c>
      <c r="AJ86" s="114" t="s">
        <v>1597</v>
      </c>
      <c r="AK86" s="72" t="s">
        <v>846</v>
      </c>
      <c r="AL86" s="76" t="s">
        <v>846</v>
      </c>
      <c r="AM86" s="80" t="s">
        <v>846</v>
      </c>
      <c r="AN86" s="80" t="s">
        <v>406</v>
      </c>
      <c r="AO86" s="114" t="s">
        <v>624</v>
      </c>
      <c r="AP86" s="141" t="s">
        <v>760</v>
      </c>
      <c r="AQ86" s="141" t="s">
        <v>406</v>
      </c>
      <c r="AR86" s="72" t="s">
        <v>844</v>
      </c>
      <c r="AS86" s="76" t="s">
        <v>624</v>
      </c>
      <c r="AT86" s="80" t="s">
        <v>844</v>
      </c>
      <c r="AU86" s="114" t="s">
        <v>387</v>
      </c>
      <c r="AV86" s="120"/>
      <c r="AW86" s="187"/>
      <c r="AX86" s="187"/>
      <c r="AY86" s="187"/>
      <c r="AZ86" s="187"/>
      <c r="BA86" s="187"/>
      <c r="BB86" s="187"/>
      <c r="BC86" s="187"/>
      <c r="BD86" s="187"/>
      <c r="BE86" s="189"/>
    </row>
    <row r="87" spans="2:57" ht="15.95" customHeight="1">
      <c r="B87" s="194"/>
      <c r="C87" s="69"/>
      <c r="D87" s="180"/>
      <c r="E87" s="181"/>
      <c r="F87" s="181"/>
      <c r="G87" s="181"/>
      <c r="H87" s="181"/>
      <c r="I87" s="181"/>
      <c r="J87" s="181"/>
      <c r="K87" s="182"/>
      <c r="L87" s="180"/>
      <c r="M87" s="181"/>
      <c r="N87" s="182"/>
      <c r="O87" s="65" t="s">
        <v>670</v>
      </c>
      <c r="P87" s="44"/>
      <c r="Q87" s="25" t="s">
        <v>28</v>
      </c>
      <c r="R87" s="22" t="s">
        <v>28</v>
      </c>
      <c r="S87" s="22" t="s">
        <v>28</v>
      </c>
      <c r="T87" s="113" t="s">
        <v>28</v>
      </c>
      <c r="U87" s="113" t="s">
        <v>28</v>
      </c>
      <c r="V87" s="22" t="s">
        <v>28</v>
      </c>
      <c r="W87" s="24" t="s">
        <v>28</v>
      </c>
      <c r="X87" s="25" t="s">
        <v>28</v>
      </c>
      <c r="Y87" s="22" t="s">
        <v>28</v>
      </c>
      <c r="Z87" s="22" t="s">
        <v>28</v>
      </c>
      <c r="AA87" s="113" t="s">
        <v>28</v>
      </c>
      <c r="AB87" s="138" t="s">
        <v>28</v>
      </c>
      <c r="AC87" s="22" t="s">
        <v>28</v>
      </c>
      <c r="AD87" s="24" t="s">
        <v>28</v>
      </c>
      <c r="AE87" s="25" t="s">
        <v>28</v>
      </c>
      <c r="AF87" s="22" t="s">
        <v>28</v>
      </c>
      <c r="AG87" s="22" t="s">
        <v>28</v>
      </c>
      <c r="AH87" s="22" t="s">
        <v>28</v>
      </c>
      <c r="AI87" s="22" t="s">
        <v>28</v>
      </c>
      <c r="AJ87" s="22" t="s">
        <v>28</v>
      </c>
      <c r="AK87" s="24" t="s">
        <v>28</v>
      </c>
      <c r="AL87" s="25" t="s">
        <v>28</v>
      </c>
      <c r="AM87" s="22" t="s">
        <v>28</v>
      </c>
      <c r="AN87" s="22" t="s">
        <v>28</v>
      </c>
      <c r="AO87" s="22" t="s">
        <v>28</v>
      </c>
      <c r="AP87" s="22" t="s">
        <v>28</v>
      </c>
      <c r="AQ87" s="22" t="s">
        <v>28</v>
      </c>
      <c r="AR87" s="24" t="s">
        <v>28</v>
      </c>
      <c r="AS87" s="25" t="s">
        <v>28</v>
      </c>
      <c r="AT87" s="22" t="s">
        <v>28</v>
      </c>
      <c r="AU87" s="113" t="s">
        <v>28</v>
      </c>
      <c r="AV87" s="119"/>
      <c r="AW87" s="187"/>
      <c r="AX87" s="187"/>
      <c r="AY87" s="187"/>
      <c r="AZ87" s="187"/>
      <c r="BA87" s="187"/>
      <c r="BB87" s="187"/>
      <c r="BC87" s="187"/>
      <c r="BD87" s="187"/>
      <c r="BE87" s="189"/>
    </row>
    <row r="88" spans="2:57" ht="13.5" thickBot="1">
      <c r="B88" s="195"/>
      <c r="C88" s="70"/>
      <c r="D88" s="183"/>
      <c r="E88" s="184"/>
      <c r="F88" s="184"/>
      <c r="G88" s="184"/>
      <c r="H88" s="184"/>
      <c r="I88" s="184"/>
      <c r="J88" s="184"/>
      <c r="K88" s="185"/>
      <c r="L88" s="183"/>
      <c r="M88" s="184"/>
      <c r="N88" s="185"/>
      <c r="O88" s="66" t="s">
        <v>671</v>
      </c>
      <c r="P88" s="48"/>
      <c r="Q88" s="85">
        <v>4</v>
      </c>
      <c r="R88" s="21">
        <v>4</v>
      </c>
      <c r="S88" s="21">
        <v>4</v>
      </c>
      <c r="T88" s="21">
        <v>4</v>
      </c>
      <c r="U88" s="21">
        <v>4</v>
      </c>
      <c r="V88" s="21">
        <v>4</v>
      </c>
      <c r="W88" s="102">
        <v>4</v>
      </c>
      <c r="X88" s="85">
        <v>4</v>
      </c>
      <c r="Y88" s="21">
        <v>4</v>
      </c>
      <c r="Z88" s="21">
        <v>4</v>
      </c>
      <c r="AA88" s="21">
        <v>4</v>
      </c>
      <c r="AB88" s="21">
        <v>4</v>
      </c>
      <c r="AC88" s="21">
        <v>4</v>
      </c>
      <c r="AD88" s="102">
        <v>4</v>
      </c>
      <c r="AE88" s="85">
        <v>4</v>
      </c>
      <c r="AF88" s="21">
        <v>4</v>
      </c>
      <c r="AG88" s="21">
        <v>4</v>
      </c>
      <c r="AH88" s="21">
        <v>4</v>
      </c>
      <c r="AI88" s="21">
        <v>4</v>
      </c>
      <c r="AJ88" s="21">
        <v>4</v>
      </c>
      <c r="AK88" s="102">
        <v>4</v>
      </c>
      <c r="AL88" s="85">
        <v>4</v>
      </c>
      <c r="AM88" s="21">
        <v>4</v>
      </c>
      <c r="AN88" s="21">
        <v>4</v>
      </c>
      <c r="AO88" s="21">
        <v>4</v>
      </c>
      <c r="AP88" s="21">
        <v>4</v>
      </c>
      <c r="AQ88" s="21">
        <v>4</v>
      </c>
      <c r="AR88" s="102">
        <v>4</v>
      </c>
      <c r="AS88" s="85">
        <v>4</v>
      </c>
      <c r="AT88" s="82">
        <v>4</v>
      </c>
      <c r="AU88" s="62">
        <v>4</v>
      </c>
      <c r="AV88" s="122"/>
      <c r="AW88" s="196"/>
      <c r="AX88" s="196"/>
      <c r="AY88" s="196"/>
      <c r="AZ88" s="196"/>
      <c r="BA88" s="196"/>
      <c r="BB88" s="196"/>
      <c r="BC88" s="196"/>
      <c r="BD88" s="196"/>
      <c r="BE88" s="197"/>
    </row>
    <row r="89" spans="2:57">
      <c r="B89" s="193">
        <f>B85+1</f>
        <v>19</v>
      </c>
      <c r="C89" s="68"/>
      <c r="D89" s="177" t="s">
        <v>678</v>
      </c>
      <c r="E89" s="178"/>
      <c r="F89" s="178"/>
      <c r="G89" s="178"/>
      <c r="H89" s="178"/>
      <c r="I89" s="178"/>
      <c r="J89" s="178"/>
      <c r="K89" s="179"/>
      <c r="L89" s="177" t="s">
        <v>680</v>
      </c>
      <c r="M89" s="178"/>
      <c r="N89" s="179"/>
      <c r="O89" s="64" t="s">
        <v>668</v>
      </c>
      <c r="P89" s="47"/>
      <c r="Q89" s="77" t="s">
        <v>734</v>
      </c>
      <c r="R89" s="81" t="s">
        <v>752</v>
      </c>
      <c r="S89" s="81" t="s">
        <v>1526</v>
      </c>
      <c r="T89" s="115" t="s">
        <v>734</v>
      </c>
      <c r="U89" s="140" t="s">
        <v>734</v>
      </c>
      <c r="V89" s="115" t="s">
        <v>734</v>
      </c>
      <c r="W89" s="79" t="s">
        <v>768</v>
      </c>
      <c r="X89" s="77" t="s">
        <v>734</v>
      </c>
      <c r="Y89" s="81" t="s">
        <v>756</v>
      </c>
      <c r="Z89" s="81" t="s">
        <v>868</v>
      </c>
      <c r="AA89" s="115" t="s">
        <v>753</v>
      </c>
      <c r="AB89" s="140" t="s">
        <v>734</v>
      </c>
      <c r="AC89" s="115" t="s">
        <v>734</v>
      </c>
      <c r="AD89" s="79" t="s">
        <v>149</v>
      </c>
      <c r="AE89" s="77" t="s">
        <v>734</v>
      </c>
      <c r="AF89" s="81" t="s">
        <v>811</v>
      </c>
      <c r="AG89" s="81" t="s">
        <v>672</v>
      </c>
      <c r="AH89" s="115" t="s">
        <v>856</v>
      </c>
      <c r="AI89" s="140" t="s">
        <v>733</v>
      </c>
      <c r="AJ89" s="115" t="s">
        <v>732</v>
      </c>
      <c r="AK89" s="79" t="s">
        <v>734</v>
      </c>
      <c r="AL89" s="77" t="s">
        <v>734</v>
      </c>
      <c r="AM89" s="81" t="s">
        <v>734</v>
      </c>
      <c r="AN89" s="81" t="s">
        <v>734</v>
      </c>
      <c r="AO89" s="115" t="s">
        <v>734</v>
      </c>
      <c r="AP89" s="140" t="s">
        <v>734</v>
      </c>
      <c r="AQ89" s="140" t="s">
        <v>734</v>
      </c>
      <c r="AR89" s="79" t="s">
        <v>734</v>
      </c>
      <c r="AS89" s="77" t="s">
        <v>734</v>
      </c>
      <c r="AT89" s="81" t="s">
        <v>734</v>
      </c>
      <c r="AU89" s="115" t="s">
        <v>734</v>
      </c>
      <c r="AV89" s="121"/>
      <c r="AW89" s="186">
        <f>COUNTIF(Q91:AT91,$AW$10)</f>
        <v>11</v>
      </c>
      <c r="AX89" s="186">
        <f>COUNTIF(Q91:AT91,$AX$10)</f>
        <v>0</v>
      </c>
      <c r="AY89" s="186">
        <f>COUNTIF(Q91:AT91,$AY$10)</f>
        <v>4</v>
      </c>
      <c r="AZ89" s="186">
        <f>COUNTIF(Q91:AT91,$AZ$10)</f>
        <v>2</v>
      </c>
      <c r="BA89" s="186">
        <f>COUNTIF(Q91:AT91,$BA$10)</f>
        <v>0</v>
      </c>
      <c r="BB89" s="186">
        <f>COUNTIF(Q91:AT91,$BB$10)</f>
        <v>2</v>
      </c>
      <c r="BC89" s="186">
        <f>COUNTIF(Q91:AT91,$BC$10)</f>
        <v>0</v>
      </c>
      <c r="BD89" s="186">
        <f>COUNTIF(Q91:AT91,$BD$10)</f>
        <v>0</v>
      </c>
      <c r="BE89" s="188">
        <f>SUM(Q92:AT92)</f>
        <v>16.5</v>
      </c>
    </row>
    <row r="90" spans="2:57">
      <c r="B90" s="194"/>
      <c r="C90" s="69"/>
      <c r="D90" s="180"/>
      <c r="E90" s="181"/>
      <c r="F90" s="181"/>
      <c r="G90" s="181"/>
      <c r="H90" s="181"/>
      <c r="I90" s="181"/>
      <c r="J90" s="181"/>
      <c r="K90" s="182"/>
      <c r="L90" s="180"/>
      <c r="M90" s="181"/>
      <c r="N90" s="182"/>
      <c r="O90" s="65" t="s">
        <v>669</v>
      </c>
      <c r="P90" s="44"/>
      <c r="Q90" s="76" t="s">
        <v>734</v>
      </c>
      <c r="R90" s="80" t="s">
        <v>1514</v>
      </c>
      <c r="S90" s="80" t="s">
        <v>1515</v>
      </c>
      <c r="T90" s="114" t="s">
        <v>734</v>
      </c>
      <c r="U90" s="141" t="s">
        <v>734</v>
      </c>
      <c r="V90" s="114" t="s">
        <v>734</v>
      </c>
      <c r="W90" s="72"/>
      <c r="X90" s="76" t="s">
        <v>734</v>
      </c>
      <c r="Y90" s="80" t="s">
        <v>1529</v>
      </c>
      <c r="Z90" s="80" t="s">
        <v>787</v>
      </c>
      <c r="AA90" s="114" t="s">
        <v>862</v>
      </c>
      <c r="AB90" s="141" t="s">
        <v>734</v>
      </c>
      <c r="AC90" s="114" t="s">
        <v>734</v>
      </c>
      <c r="AD90" s="72" t="s">
        <v>1519</v>
      </c>
      <c r="AE90" s="76" t="s">
        <v>734</v>
      </c>
      <c r="AF90" s="80" t="s">
        <v>826</v>
      </c>
      <c r="AG90" s="80" t="s">
        <v>865</v>
      </c>
      <c r="AH90" s="114">
        <v>0.73125000000000007</v>
      </c>
      <c r="AI90" s="141" t="s">
        <v>195</v>
      </c>
      <c r="AJ90" s="114" t="s">
        <v>732</v>
      </c>
      <c r="AK90" s="72" t="s">
        <v>734</v>
      </c>
      <c r="AL90" s="76" t="s">
        <v>734</v>
      </c>
      <c r="AM90" s="80" t="s">
        <v>734</v>
      </c>
      <c r="AN90" s="80" t="s">
        <v>734</v>
      </c>
      <c r="AO90" s="114" t="s">
        <v>734</v>
      </c>
      <c r="AP90" s="141" t="s">
        <v>734</v>
      </c>
      <c r="AQ90" s="141" t="s">
        <v>734</v>
      </c>
      <c r="AR90" s="72" t="s">
        <v>734</v>
      </c>
      <c r="AS90" s="76" t="s">
        <v>734</v>
      </c>
      <c r="AT90" s="80" t="s">
        <v>734</v>
      </c>
      <c r="AU90" s="114" t="s">
        <v>734</v>
      </c>
      <c r="AV90" s="120"/>
      <c r="AW90" s="187"/>
      <c r="AX90" s="187"/>
      <c r="AY90" s="187"/>
      <c r="AZ90" s="187"/>
      <c r="BA90" s="187"/>
      <c r="BB90" s="187"/>
      <c r="BC90" s="187"/>
      <c r="BD90" s="187"/>
      <c r="BE90" s="189"/>
    </row>
    <row r="91" spans="2:57">
      <c r="B91" s="194"/>
      <c r="C91" s="69"/>
      <c r="D91" s="180"/>
      <c r="E91" s="181"/>
      <c r="F91" s="181"/>
      <c r="G91" s="181"/>
      <c r="H91" s="181"/>
      <c r="I91" s="181"/>
      <c r="J91" s="181"/>
      <c r="K91" s="182"/>
      <c r="L91" s="180"/>
      <c r="M91" s="181"/>
      <c r="N91" s="182"/>
      <c r="O91" s="65" t="s">
        <v>670</v>
      </c>
      <c r="P91" s="44"/>
      <c r="Q91" s="25"/>
      <c r="R91" s="22" t="s">
        <v>28</v>
      </c>
      <c r="S91" s="22" t="s">
        <v>28</v>
      </c>
      <c r="T91" s="113" t="s">
        <v>23</v>
      </c>
      <c r="U91" s="113" t="s">
        <v>30</v>
      </c>
      <c r="V91" s="22" t="s">
        <v>30</v>
      </c>
      <c r="W91" s="24" t="s">
        <v>28</v>
      </c>
      <c r="X91" s="25" t="s">
        <v>26</v>
      </c>
      <c r="Y91" s="22" t="s">
        <v>28</v>
      </c>
      <c r="Z91" s="22" t="s">
        <v>28</v>
      </c>
      <c r="AA91" s="113" t="s">
        <v>28</v>
      </c>
      <c r="AB91" s="138" t="s">
        <v>26</v>
      </c>
      <c r="AC91" s="22" t="s">
        <v>23</v>
      </c>
      <c r="AD91" s="24" t="s">
        <v>28</v>
      </c>
      <c r="AE91" s="25" t="s">
        <v>26</v>
      </c>
      <c r="AF91" s="22" t="s">
        <v>28</v>
      </c>
      <c r="AG91" s="22" t="s">
        <v>28</v>
      </c>
      <c r="AH91" s="22" t="s">
        <v>28</v>
      </c>
      <c r="AI91" s="113" t="s">
        <v>26</v>
      </c>
      <c r="AJ91" s="22" t="s">
        <v>28</v>
      </c>
      <c r="AK91" s="24"/>
      <c r="AL91" s="25"/>
      <c r="AM91" s="22"/>
      <c r="AN91" s="22"/>
      <c r="AO91" s="113"/>
      <c r="AP91" s="138"/>
      <c r="AQ91" s="113"/>
      <c r="AR91" s="24"/>
      <c r="AS91" s="25"/>
      <c r="AT91" s="22"/>
      <c r="AU91" s="113"/>
      <c r="AV91" s="119"/>
      <c r="AW91" s="187"/>
      <c r="AX91" s="187"/>
      <c r="AY91" s="187"/>
      <c r="AZ91" s="187"/>
      <c r="BA91" s="187"/>
      <c r="BB91" s="187"/>
      <c r="BC91" s="187"/>
      <c r="BD91" s="187"/>
      <c r="BE91" s="189"/>
    </row>
    <row r="92" spans="2:57" ht="13.5" thickBot="1">
      <c r="B92" s="195"/>
      <c r="C92" s="70"/>
      <c r="D92" s="183"/>
      <c r="E92" s="184"/>
      <c r="F92" s="184"/>
      <c r="G92" s="184"/>
      <c r="H92" s="184"/>
      <c r="I92" s="184"/>
      <c r="J92" s="184"/>
      <c r="K92" s="185"/>
      <c r="L92" s="183"/>
      <c r="M92" s="184"/>
      <c r="N92" s="185"/>
      <c r="O92" s="66" t="s">
        <v>671</v>
      </c>
      <c r="P92" s="45"/>
      <c r="Q92" s="85"/>
      <c r="R92" s="21">
        <v>4.5</v>
      </c>
      <c r="S92" s="23">
        <v>5.5</v>
      </c>
      <c r="T92" s="137"/>
      <c r="U92" s="62"/>
      <c r="V92" s="62"/>
      <c r="W92" s="102"/>
      <c r="X92" s="85"/>
      <c r="Y92" s="21">
        <f>19.5-0.5-16</f>
        <v>3</v>
      </c>
      <c r="Z92" s="23">
        <v>2</v>
      </c>
      <c r="AA92" s="137"/>
      <c r="AB92" s="62"/>
      <c r="AC92" s="62"/>
      <c r="AD92" s="102"/>
      <c r="AE92" s="85"/>
      <c r="AF92" s="21"/>
      <c r="AG92" s="23"/>
      <c r="AH92" s="137">
        <v>1.5</v>
      </c>
      <c r="AI92" s="62"/>
      <c r="AJ92" s="62"/>
      <c r="AK92" s="102"/>
      <c r="AL92" s="85"/>
      <c r="AM92" s="21"/>
      <c r="AN92" s="23"/>
      <c r="AO92" s="137"/>
      <c r="AP92" s="62"/>
      <c r="AQ92" s="62"/>
      <c r="AR92" s="102"/>
      <c r="AS92" s="85"/>
      <c r="AT92" s="82"/>
      <c r="AU92" s="62"/>
      <c r="AV92" s="128"/>
      <c r="AW92" s="187"/>
      <c r="AX92" s="187"/>
      <c r="AY92" s="187"/>
      <c r="AZ92" s="187"/>
      <c r="BA92" s="187"/>
      <c r="BB92" s="187"/>
      <c r="BC92" s="187"/>
      <c r="BD92" s="187"/>
      <c r="BE92" s="189"/>
    </row>
    <row r="93" spans="2:57">
      <c r="B93" s="193">
        <f>B89+1</f>
        <v>20</v>
      </c>
      <c r="C93" s="68"/>
      <c r="D93" s="177" t="s">
        <v>679</v>
      </c>
      <c r="E93" s="178"/>
      <c r="F93" s="178"/>
      <c r="G93" s="178"/>
      <c r="H93" s="178"/>
      <c r="I93" s="178"/>
      <c r="J93" s="178"/>
      <c r="K93" s="179"/>
      <c r="L93" s="177" t="s">
        <v>680</v>
      </c>
      <c r="M93" s="178"/>
      <c r="N93" s="179"/>
      <c r="O93" s="64" t="s">
        <v>668</v>
      </c>
      <c r="P93" s="47"/>
      <c r="Q93" s="77"/>
      <c r="R93" s="81"/>
      <c r="S93" s="81"/>
      <c r="T93" s="115"/>
      <c r="U93" s="140"/>
      <c r="V93" s="115"/>
      <c r="W93" s="79"/>
      <c r="X93" s="77"/>
      <c r="Y93" s="81"/>
      <c r="Z93" s="81"/>
      <c r="AA93" s="115"/>
      <c r="AB93" s="140"/>
      <c r="AC93" s="115"/>
      <c r="AD93" s="79"/>
      <c r="AE93" s="77"/>
      <c r="AF93" s="81" t="s">
        <v>811</v>
      </c>
      <c r="AG93" s="81" t="s">
        <v>865</v>
      </c>
      <c r="AH93" s="115" t="s">
        <v>859</v>
      </c>
      <c r="AI93" s="140" t="s">
        <v>734</v>
      </c>
      <c r="AJ93" s="115" t="s">
        <v>732</v>
      </c>
      <c r="AK93" s="79"/>
      <c r="AL93" s="77"/>
      <c r="AM93" s="81"/>
      <c r="AN93" s="81"/>
      <c r="AO93" s="115"/>
      <c r="AP93" s="140"/>
      <c r="AQ93" s="140"/>
      <c r="AR93" s="79"/>
      <c r="AS93" s="77"/>
      <c r="AT93" s="81"/>
      <c r="AU93" s="115"/>
      <c r="AV93" s="121"/>
      <c r="AW93" s="186">
        <f>COUNTIF(Q95:AT95,$AW$10)</f>
        <v>4</v>
      </c>
      <c r="AX93" s="186">
        <f>COUNTIF(Q95:AT95,$AX$10)</f>
        <v>0</v>
      </c>
      <c r="AY93" s="186">
        <f>COUNTIF(Q95:AT95,$AY$10)</f>
        <v>3</v>
      </c>
      <c r="AZ93" s="186">
        <f>COUNTIF(Q95:AT95,$AZ$10)</f>
        <v>2</v>
      </c>
      <c r="BA93" s="186">
        <f>COUNTIF(Q95:AT95,$BA$10)</f>
        <v>0</v>
      </c>
      <c r="BB93" s="186">
        <f>COUNTIF(Q95:AT95,$BB$10)</f>
        <v>11</v>
      </c>
      <c r="BC93" s="186">
        <f>COUNTIF(Q95:AT95,$BC$10)</f>
        <v>0</v>
      </c>
      <c r="BD93" s="186">
        <f>COUNTIF(Q95:AT95,$BD$10)</f>
        <v>0</v>
      </c>
      <c r="BE93" s="188">
        <f>SUM(Q96:AT96)</f>
        <v>0</v>
      </c>
    </row>
    <row r="94" spans="2:57">
      <c r="B94" s="194"/>
      <c r="C94" s="69"/>
      <c r="D94" s="180"/>
      <c r="E94" s="181"/>
      <c r="F94" s="181"/>
      <c r="G94" s="181"/>
      <c r="H94" s="181"/>
      <c r="I94" s="181"/>
      <c r="J94" s="181"/>
      <c r="K94" s="182"/>
      <c r="L94" s="180"/>
      <c r="M94" s="181"/>
      <c r="N94" s="182"/>
      <c r="O94" s="65" t="s">
        <v>669</v>
      </c>
      <c r="P94" s="44"/>
      <c r="Q94" s="76"/>
      <c r="R94" s="80"/>
      <c r="S94" s="80"/>
      <c r="T94" s="114"/>
      <c r="U94" s="141"/>
      <c r="V94" s="114"/>
      <c r="W94" s="72"/>
      <c r="X94" s="76"/>
      <c r="Y94" s="80"/>
      <c r="Z94" s="80"/>
      <c r="AA94" s="114"/>
      <c r="AB94" s="141"/>
      <c r="AC94" s="114"/>
      <c r="AD94" s="72"/>
      <c r="AE94" s="76"/>
      <c r="AF94" s="80" t="s">
        <v>826</v>
      </c>
      <c r="AG94" s="80" t="s">
        <v>865</v>
      </c>
      <c r="AH94" s="114" t="s">
        <v>859</v>
      </c>
      <c r="AI94" s="141" t="s">
        <v>734</v>
      </c>
      <c r="AJ94" s="114" t="s">
        <v>732</v>
      </c>
      <c r="AK94" s="72"/>
      <c r="AL94" s="76"/>
      <c r="AM94" s="80"/>
      <c r="AN94" s="80"/>
      <c r="AO94" s="114"/>
      <c r="AP94" s="141"/>
      <c r="AQ94" s="141"/>
      <c r="AR94" s="72"/>
      <c r="AS94" s="76"/>
      <c r="AT94" s="80"/>
      <c r="AU94" s="114"/>
      <c r="AV94" s="120"/>
      <c r="AW94" s="187"/>
      <c r="AX94" s="187"/>
      <c r="AY94" s="187"/>
      <c r="AZ94" s="187"/>
      <c r="BA94" s="187"/>
      <c r="BB94" s="187"/>
      <c r="BC94" s="187"/>
      <c r="BD94" s="187"/>
      <c r="BE94" s="189"/>
    </row>
    <row r="95" spans="2:57">
      <c r="B95" s="194"/>
      <c r="C95" s="69"/>
      <c r="D95" s="180"/>
      <c r="E95" s="181"/>
      <c r="F95" s="181"/>
      <c r="G95" s="181"/>
      <c r="H95" s="181"/>
      <c r="I95" s="181"/>
      <c r="J95" s="181"/>
      <c r="K95" s="182"/>
      <c r="L95" s="180"/>
      <c r="M95" s="181"/>
      <c r="N95" s="182"/>
      <c r="O95" s="65" t="s">
        <v>670</v>
      </c>
      <c r="P95" s="44"/>
      <c r="Q95" s="25" t="s">
        <v>23</v>
      </c>
      <c r="R95" s="22" t="s">
        <v>23</v>
      </c>
      <c r="S95" s="22" t="s">
        <v>23</v>
      </c>
      <c r="T95" s="113" t="s">
        <v>23</v>
      </c>
      <c r="U95" s="113" t="s">
        <v>30</v>
      </c>
      <c r="V95" s="22" t="s">
        <v>30</v>
      </c>
      <c r="W95" s="24" t="s">
        <v>23</v>
      </c>
      <c r="X95" s="25" t="s">
        <v>26</v>
      </c>
      <c r="Y95" s="22" t="s">
        <v>23</v>
      </c>
      <c r="Z95" s="22" t="s">
        <v>23</v>
      </c>
      <c r="AA95" s="113" t="s">
        <v>23</v>
      </c>
      <c r="AB95" s="138" t="s">
        <v>26</v>
      </c>
      <c r="AC95" s="22" t="s">
        <v>23</v>
      </c>
      <c r="AD95" s="24" t="s">
        <v>23</v>
      </c>
      <c r="AE95" s="25" t="s">
        <v>23</v>
      </c>
      <c r="AF95" s="22" t="s">
        <v>28</v>
      </c>
      <c r="AG95" s="22" t="s">
        <v>28</v>
      </c>
      <c r="AH95" s="22" t="s">
        <v>28</v>
      </c>
      <c r="AI95" s="113" t="s">
        <v>26</v>
      </c>
      <c r="AJ95" s="22" t="s">
        <v>28</v>
      </c>
      <c r="AK95" s="24"/>
      <c r="AL95" s="25"/>
      <c r="AM95" s="22"/>
      <c r="AN95" s="22"/>
      <c r="AO95" s="113"/>
      <c r="AP95" s="138"/>
      <c r="AQ95" s="113"/>
      <c r="AR95" s="24"/>
      <c r="AS95" s="25"/>
      <c r="AT95" s="22"/>
      <c r="AU95" s="113"/>
      <c r="AV95" s="119"/>
      <c r="AW95" s="187"/>
      <c r="AX95" s="187"/>
      <c r="AY95" s="187"/>
      <c r="AZ95" s="187"/>
      <c r="BA95" s="187"/>
      <c r="BB95" s="187"/>
      <c r="BC95" s="187"/>
      <c r="BD95" s="187"/>
      <c r="BE95" s="189"/>
    </row>
    <row r="96" spans="2:57" ht="13.5" thickBot="1">
      <c r="B96" s="195"/>
      <c r="C96" s="70"/>
      <c r="D96" s="183"/>
      <c r="E96" s="184"/>
      <c r="F96" s="184"/>
      <c r="G96" s="184"/>
      <c r="H96" s="184"/>
      <c r="I96" s="184"/>
      <c r="J96" s="184"/>
      <c r="K96" s="185"/>
      <c r="L96" s="183"/>
      <c r="M96" s="184"/>
      <c r="N96" s="185"/>
      <c r="O96" s="66" t="s">
        <v>671</v>
      </c>
      <c r="P96" s="48"/>
      <c r="Q96" s="85"/>
      <c r="R96" s="21"/>
      <c r="S96" s="23"/>
      <c r="T96" s="137"/>
      <c r="U96" s="62"/>
      <c r="V96" s="62"/>
      <c r="W96" s="102"/>
      <c r="X96" s="85"/>
      <c r="Y96" s="21"/>
      <c r="Z96" s="23"/>
      <c r="AA96" s="137"/>
      <c r="AB96" s="62"/>
      <c r="AC96" s="62"/>
      <c r="AD96" s="102"/>
      <c r="AE96" s="85"/>
      <c r="AF96" s="21"/>
      <c r="AG96" s="23"/>
      <c r="AH96" s="137"/>
      <c r="AI96" s="62"/>
      <c r="AJ96" s="62"/>
      <c r="AK96" s="102"/>
      <c r="AL96" s="85"/>
      <c r="AM96" s="21"/>
      <c r="AN96" s="23"/>
      <c r="AO96" s="137"/>
      <c r="AP96" s="62"/>
      <c r="AQ96" s="62"/>
      <c r="AR96" s="102"/>
      <c r="AS96" s="85"/>
      <c r="AT96" s="82"/>
      <c r="AU96" s="62"/>
      <c r="AV96" s="126"/>
      <c r="AW96" s="196"/>
      <c r="AX96" s="196"/>
      <c r="AY96" s="196"/>
      <c r="AZ96" s="196"/>
      <c r="BA96" s="196"/>
      <c r="BB96" s="196"/>
      <c r="BC96" s="196"/>
      <c r="BD96" s="196"/>
      <c r="BE96" s="197"/>
    </row>
    <row r="97" spans="2:57" ht="12.75" customHeight="1">
      <c r="B97" s="193">
        <f t="shared" ref="B97" si="0">B93+1</f>
        <v>21</v>
      </c>
      <c r="C97" s="68"/>
      <c r="D97" s="177" t="s">
        <v>691</v>
      </c>
      <c r="E97" s="178"/>
      <c r="F97" s="178"/>
      <c r="G97" s="178"/>
      <c r="H97" s="178"/>
      <c r="I97" s="178"/>
      <c r="J97" s="178"/>
      <c r="K97" s="179"/>
      <c r="L97" s="177" t="s">
        <v>680</v>
      </c>
      <c r="M97" s="178"/>
      <c r="N97" s="179"/>
      <c r="O97" s="64" t="s">
        <v>668</v>
      </c>
      <c r="P97" s="47"/>
      <c r="Q97" s="77" t="s">
        <v>734</v>
      </c>
      <c r="R97" s="81" t="s">
        <v>141</v>
      </c>
      <c r="S97" s="81" t="s">
        <v>751</v>
      </c>
      <c r="T97" s="115" t="s">
        <v>734</v>
      </c>
      <c r="U97" s="140" t="s">
        <v>1598</v>
      </c>
      <c r="V97" s="115" t="s">
        <v>533</v>
      </c>
      <c r="W97" s="79" t="s">
        <v>734</v>
      </c>
      <c r="X97" s="77" t="s">
        <v>734</v>
      </c>
      <c r="Y97" s="81" t="s">
        <v>734</v>
      </c>
      <c r="Z97" s="81" t="s">
        <v>734</v>
      </c>
      <c r="AA97" s="115" t="s">
        <v>734</v>
      </c>
      <c r="AB97" s="140" t="s">
        <v>734</v>
      </c>
      <c r="AC97" s="115" t="s">
        <v>734</v>
      </c>
      <c r="AD97" s="79" t="s">
        <v>734</v>
      </c>
      <c r="AE97" s="77" t="s">
        <v>734</v>
      </c>
      <c r="AF97" s="81" t="s">
        <v>734</v>
      </c>
      <c r="AG97" s="81" t="s">
        <v>734</v>
      </c>
      <c r="AH97" s="115" t="s">
        <v>734</v>
      </c>
      <c r="AI97" s="140" t="s">
        <v>734</v>
      </c>
      <c r="AJ97" s="115" t="s">
        <v>791</v>
      </c>
      <c r="AK97" s="79" t="s">
        <v>734</v>
      </c>
      <c r="AL97" s="77" t="s">
        <v>734</v>
      </c>
      <c r="AM97" s="81" t="s">
        <v>769</v>
      </c>
      <c r="AN97" s="81" t="s">
        <v>1599</v>
      </c>
      <c r="AO97" s="115" t="s">
        <v>792</v>
      </c>
      <c r="AP97" s="140" t="s">
        <v>790</v>
      </c>
      <c r="AQ97" s="140" t="s">
        <v>734</v>
      </c>
      <c r="AR97" s="79" t="s">
        <v>793</v>
      </c>
      <c r="AS97" s="77" t="s">
        <v>734</v>
      </c>
      <c r="AT97" s="81" t="s">
        <v>734</v>
      </c>
      <c r="AU97" s="115" t="s">
        <v>789</v>
      </c>
      <c r="AV97" s="121"/>
      <c r="AW97" s="186">
        <f>COUNTIF(Q99:AT99,$AW$10)</f>
        <v>8</v>
      </c>
      <c r="AX97" s="186">
        <f>COUNTIF(Q99:AT99,$AX$10)</f>
        <v>2</v>
      </c>
      <c r="AY97" s="186">
        <f>COUNTIF(Q99:AT99,$AY$10)</f>
        <v>5</v>
      </c>
      <c r="AZ97" s="186">
        <f>COUNTIF(Q99:AT99,$AZ$10)</f>
        <v>0</v>
      </c>
      <c r="BA97" s="186">
        <f>COUNTIF(Q99:AT99,$BA$10)</f>
        <v>0</v>
      </c>
      <c r="BB97" s="186">
        <f>COUNTIF(Q99:AT99,$BB$10)</f>
        <v>11</v>
      </c>
      <c r="BC97" s="186">
        <f>COUNTIF(Q99:AT99,$BC$10)</f>
        <v>0</v>
      </c>
      <c r="BD97" s="186">
        <f>COUNTIF(Q99:AT99,$BD$10)</f>
        <v>0</v>
      </c>
      <c r="BE97" s="188">
        <f>SUM(Q100:AT100)</f>
        <v>31.5</v>
      </c>
    </row>
    <row r="98" spans="2:57">
      <c r="B98" s="194"/>
      <c r="C98" s="69"/>
      <c r="D98" s="180"/>
      <c r="E98" s="181"/>
      <c r="F98" s="181"/>
      <c r="G98" s="181"/>
      <c r="H98" s="181"/>
      <c r="I98" s="181"/>
      <c r="J98" s="181"/>
      <c r="K98" s="182"/>
      <c r="L98" s="180"/>
      <c r="M98" s="181"/>
      <c r="N98" s="182"/>
      <c r="O98" s="65" t="s">
        <v>669</v>
      </c>
      <c r="P98" s="44"/>
      <c r="Q98" s="76" t="s">
        <v>734</v>
      </c>
      <c r="R98" s="80" t="s">
        <v>1516</v>
      </c>
      <c r="S98" s="80" t="s">
        <v>1515</v>
      </c>
      <c r="T98" s="114" t="s">
        <v>734</v>
      </c>
      <c r="U98" s="141" t="s">
        <v>848</v>
      </c>
      <c r="V98" s="114" t="s">
        <v>784</v>
      </c>
      <c r="W98" s="72" t="s">
        <v>734</v>
      </c>
      <c r="X98" s="76" t="s">
        <v>734</v>
      </c>
      <c r="Y98" s="80" t="s">
        <v>734</v>
      </c>
      <c r="Z98" s="80" t="s">
        <v>734</v>
      </c>
      <c r="AA98" s="114" t="s">
        <v>734</v>
      </c>
      <c r="AB98" s="141" t="s">
        <v>734</v>
      </c>
      <c r="AC98" s="114" t="s">
        <v>734</v>
      </c>
      <c r="AD98" s="72" t="s">
        <v>734</v>
      </c>
      <c r="AE98" s="76" t="s">
        <v>734</v>
      </c>
      <c r="AF98" s="80" t="s">
        <v>734</v>
      </c>
      <c r="AG98" s="80" t="s">
        <v>734</v>
      </c>
      <c r="AH98" s="114" t="s">
        <v>734</v>
      </c>
      <c r="AI98" s="141" t="s">
        <v>734</v>
      </c>
      <c r="AJ98" s="114" t="s">
        <v>1600</v>
      </c>
      <c r="AK98" s="72" t="s">
        <v>734</v>
      </c>
      <c r="AL98" s="76" t="s">
        <v>734</v>
      </c>
      <c r="AM98" s="80" t="s">
        <v>1509</v>
      </c>
      <c r="AN98" s="80" t="s">
        <v>1517</v>
      </c>
      <c r="AO98" s="114" t="s">
        <v>1542</v>
      </c>
      <c r="AP98" s="141" t="s">
        <v>1492</v>
      </c>
      <c r="AQ98" s="141" t="s">
        <v>734</v>
      </c>
      <c r="AR98" s="72" t="s">
        <v>1601</v>
      </c>
      <c r="AS98" s="76" t="s">
        <v>734</v>
      </c>
      <c r="AT98" s="80" t="s">
        <v>734</v>
      </c>
      <c r="AU98" s="114" t="s">
        <v>820</v>
      </c>
      <c r="AV98" s="120"/>
      <c r="AW98" s="187"/>
      <c r="AX98" s="187"/>
      <c r="AY98" s="187"/>
      <c r="AZ98" s="187"/>
      <c r="BA98" s="187"/>
      <c r="BB98" s="187"/>
      <c r="BC98" s="187"/>
      <c r="BD98" s="187"/>
      <c r="BE98" s="189"/>
    </row>
    <row r="99" spans="2:57">
      <c r="B99" s="194"/>
      <c r="C99" s="69"/>
      <c r="D99" s="180"/>
      <c r="E99" s="181"/>
      <c r="F99" s="181"/>
      <c r="G99" s="181"/>
      <c r="H99" s="181"/>
      <c r="I99" s="181"/>
      <c r="J99" s="181"/>
      <c r="K99" s="182"/>
      <c r="L99" s="180"/>
      <c r="M99" s="181"/>
      <c r="N99" s="182"/>
      <c r="O99" s="65" t="s">
        <v>670</v>
      </c>
      <c r="P99" s="44"/>
      <c r="Q99" s="25"/>
      <c r="R99" s="22" t="s">
        <v>28</v>
      </c>
      <c r="S99" s="22" t="s">
        <v>28</v>
      </c>
      <c r="T99" s="113" t="s">
        <v>23</v>
      </c>
      <c r="U99" s="113" t="s">
        <v>29</v>
      </c>
      <c r="V99" s="22" t="s">
        <v>29</v>
      </c>
      <c r="W99" s="24" t="s">
        <v>23</v>
      </c>
      <c r="X99" s="25" t="s">
        <v>26</v>
      </c>
      <c r="Y99" s="22" t="s">
        <v>23</v>
      </c>
      <c r="Z99" s="22" t="s">
        <v>23</v>
      </c>
      <c r="AA99" s="113" t="s">
        <v>23</v>
      </c>
      <c r="AB99" s="138" t="s">
        <v>26</v>
      </c>
      <c r="AC99" s="22" t="s">
        <v>23</v>
      </c>
      <c r="AD99" s="24" t="s">
        <v>23</v>
      </c>
      <c r="AE99" s="25" t="s">
        <v>26</v>
      </c>
      <c r="AF99" s="22" t="s">
        <v>23</v>
      </c>
      <c r="AG99" s="22" t="s">
        <v>23</v>
      </c>
      <c r="AH99" s="22" t="s">
        <v>23</v>
      </c>
      <c r="AI99" s="113" t="s">
        <v>26</v>
      </c>
      <c r="AJ99" s="22" t="s">
        <v>28</v>
      </c>
      <c r="AK99" s="24"/>
      <c r="AL99" s="25"/>
      <c r="AM99" s="22" t="s">
        <v>28</v>
      </c>
      <c r="AN99" s="22" t="s">
        <v>28</v>
      </c>
      <c r="AO99" s="22" t="s">
        <v>28</v>
      </c>
      <c r="AP99" s="138" t="s">
        <v>28</v>
      </c>
      <c r="AQ99" s="113"/>
      <c r="AR99" s="24" t="s">
        <v>28</v>
      </c>
      <c r="AS99" s="25" t="s">
        <v>26</v>
      </c>
      <c r="AT99" s="22" t="s">
        <v>23</v>
      </c>
      <c r="AU99" s="113" t="s">
        <v>28</v>
      </c>
      <c r="AV99" s="119"/>
      <c r="AW99" s="187"/>
      <c r="AX99" s="187"/>
      <c r="AY99" s="187"/>
      <c r="AZ99" s="187"/>
      <c r="BA99" s="187"/>
      <c r="BB99" s="187"/>
      <c r="BC99" s="187"/>
      <c r="BD99" s="187"/>
      <c r="BE99" s="189"/>
    </row>
    <row r="100" spans="2:57" ht="13.5" thickBot="1">
      <c r="B100" s="194"/>
      <c r="C100" s="104"/>
      <c r="D100" s="180"/>
      <c r="E100" s="181"/>
      <c r="F100" s="181"/>
      <c r="G100" s="181"/>
      <c r="H100" s="181"/>
      <c r="I100" s="181"/>
      <c r="J100" s="181"/>
      <c r="K100" s="182"/>
      <c r="L100" s="180"/>
      <c r="M100" s="181"/>
      <c r="N100" s="182"/>
      <c r="O100" s="105" t="s">
        <v>671</v>
      </c>
      <c r="P100" s="106"/>
      <c r="Q100" s="85"/>
      <c r="R100" s="21">
        <v>4.5</v>
      </c>
      <c r="S100" s="23">
        <v>5.5</v>
      </c>
      <c r="T100" s="137"/>
      <c r="U100" s="62">
        <v>2.5</v>
      </c>
      <c r="V100" s="62">
        <v>0</v>
      </c>
      <c r="W100" s="102"/>
      <c r="X100" s="85"/>
      <c r="Y100" s="21"/>
      <c r="Z100" s="23"/>
      <c r="AA100" s="137"/>
      <c r="AB100" s="62"/>
      <c r="AC100" s="62"/>
      <c r="AD100" s="102"/>
      <c r="AE100" s="85"/>
      <c r="AF100" s="21"/>
      <c r="AG100" s="23"/>
      <c r="AH100" s="137"/>
      <c r="AI100" s="62"/>
      <c r="AJ100" s="62"/>
      <c r="AK100" s="102"/>
      <c r="AL100" s="85"/>
      <c r="AM100" s="21">
        <v>3.5</v>
      </c>
      <c r="AN100" s="23"/>
      <c r="AO100" s="137">
        <v>2.5</v>
      </c>
      <c r="AP100" s="62">
        <v>2.5</v>
      </c>
      <c r="AQ100" s="62"/>
      <c r="AR100" s="102">
        <f>23--0.5-13</f>
        <v>10.5</v>
      </c>
      <c r="AS100" s="85"/>
      <c r="AT100" s="82"/>
      <c r="AU100" s="62">
        <f>20-0.5-16</f>
        <v>3.5</v>
      </c>
      <c r="AV100" s="127"/>
      <c r="AW100" s="187"/>
      <c r="AX100" s="187"/>
      <c r="AY100" s="187"/>
      <c r="AZ100" s="187"/>
      <c r="BA100" s="187"/>
      <c r="BB100" s="187"/>
      <c r="BC100" s="187"/>
      <c r="BD100" s="187"/>
      <c r="BE100" s="189"/>
    </row>
    <row r="101" spans="2:57" ht="15" customHeight="1">
      <c r="B101" s="39"/>
      <c r="C101" s="39"/>
      <c r="D101" s="100"/>
      <c r="E101" s="100"/>
      <c r="F101" s="100"/>
      <c r="G101" s="100"/>
      <c r="H101" s="100"/>
      <c r="I101" s="100"/>
      <c r="J101" s="100"/>
      <c r="K101" s="100"/>
      <c r="L101" s="100"/>
      <c r="M101" s="100"/>
      <c r="N101" s="101"/>
      <c r="O101" s="101"/>
      <c r="P101" s="39"/>
      <c r="Q101" s="101"/>
      <c r="R101" s="101"/>
      <c r="S101" s="101"/>
      <c r="T101" s="101"/>
      <c r="U101" s="101"/>
      <c r="V101" s="101"/>
      <c r="W101" s="101"/>
      <c r="X101" s="101"/>
      <c r="Y101" s="101"/>
      <c r="Z101" s="101"/>
      <c r="AA101" s="101"/>
      <c r="AB101" s="101"/>
      <c r="AC101" s="101"/>
      <c r="AD101" s="101"/>
      <c r="AE101" s="101"/>
      <c r="AF101" s="101"/>
      <c r="AG101" s="101"/>
      <c r="AH101" s="101"/>
      <c r="AI101" s="101"/>
      <c r="AJ101" s="101"/>
      <c r="AK101" s="101"/>
      <c r="AL101" s="101"/>
      <c r="AM101" s="101"/>
      <c r="AN101" s="101"/>
      <c r="AO101" s="101"/>
      <c r="AP101" s="142"/>
      <c r="AQ101" s="142"/>
      <c r="AR101" s="101"/>
      <c r="AS101" s="101"/>
      <c r="AT101" s="101"/>
      <c r="AU101" s="39"/>
      <c r="AV101" s="39"/>
      <c r="AW101" s="39"/>
      <c r="AX101" s="39"/>
      <c r="AY101" s="39"/>
      <c r="AZ101" s="39"/>
      <c r="BA101" s="39"/>
      <c r="BB101" s="39"/>
      <c r="BC101" s="39"/>
      <c r="BD101" s="39"/>
      <c r="BE101" s="39"/>
    </row>
    <row r="102" spans="2:57" ht="15" customHeight="1">
      <c r="B102" s="50" t="s">
        <v>33</v>
      </c>
      <c r="C102" s="51"/>
      <c r="D102" s="51"/>
      <c r="E102" s="212" t="s">
        <v>24</v>
      </c>
      <c r="F102" s="213"/>
      <c r="G102" s="213"/>
      <c r="H102" s="213"/>
      <c r="I102" s="214"/>
      <c r="J102" s="51"/>
      <c r="K102" s="51"/>
      <c r="L102" s="50" t="s">
        <v>33</v>
      </c>
      <c r="M102" s="52"/>
      <c r="N102" s="88" t="s">
        <v>24</v>
      </c>
      <c r="O102" s="89"/>
      <c r="P102" s="89"/>
      <c r="Q102" s="89"/>
      <c r="R102" s="89"/>
      <c r="S102" s="89"/>
      <c r="T102" s="90"/>
      <c r="X102" s="28"/>
      <c r="Y102" s="28"/>
      <c r="Z102" s="28"/>
      <c r="AA102" s="28"/>
      <c r="AB102" s="28"/>
      <c r="AC102" s="28"/>
      <c r="AD102" s="28"/>
      <c r="AE102" s="28"/>
      <c r="AF102" s="28"/>
      <c r="AG102" s="28"/>
      <c r="AH102" s="28"/>
      <c r="AI102" s="28"/>
      <c r="AJ102" s="28"/>
      <c r="AK102" s="28"/>
      <c r="AL102" s="28"/>
      <c r="AM102" s="28"/>
      <c r="AN102" s="28"/>
      <c r="AO102" s="28"/>
      <c r="AP102" s="145"/>
      <c r="AQ102" s="145"/>
      <c r="AR102" s="28"/>
      <c r="AS102" s="28"/>
      <c r="AT102" s="28"/>
    </row>
    <row r="103" spans="2:57" ht="15" customHeight="1">
      <c r="B103" s="42" t="s">
        <v>28</v>
      </c>
      <c r="C103" s="49"/>
      <c r="D103" s="49"/>
      <c r="E103" s="53" t="s">
        <v>34</v>
      </c>
      <c r="F103" s="54"/>
      <c r="G103" s="54"/>
      <c r="H103" s="54"/>
      <c r="I103" s="54"/>
      <c r="J103" s="55"/>
      <c r="K103" s="56"/>
      <c r="L103" s="42" t="s">
        <v>31</v>
      </c>
      <c r="M103" s="56"/>
      <c r="N103" s="91" t="s">
        <v>55</v>
      </c>
      <c r="O103" s="92"/>
      <c r="P103" s="93"/>
      <c r="Q103" s="93"/>
      <c r="R103" s="159"/>
      <c r="S103" s="159"/>
      <c r="T103" s="94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28"/>
      <c r="AI103" s="28"/>
      <c r="AJ103" s="28"/>
      <c r="AK103" s="28"/>
      <c r="AL103" s="28"/>
      <c r="AM103" s="28"/>
      <c r="AN103" s="28"/>
      <c r="AO103" s="28"/>
      <c r="AP103" s="145"/>
      <c r="AQ103" s="145"/>
      <c r="AR103" s="28"/>
      <c r="AS103" s="28"/>
      <c r="AT103" s="28"/>
    </row>
    <row r="104" spans="2:57" ht="15" customHeight="1">
      <c r="B104" s="42" t="s">
        <v>29</v>
      </c>
      <c r="C104" s="49"/>
      <c r="D104" s="49"/>
      <c r="E104" s="53" t="s">
        <v>35</v>
      </c>
      <c r="F104" s="54"/>
      <c r="G104" s="54"/>
      <c r="H104" s="54"/>
      <c r="I104" s="54"/>
      <c r="J104" s="55"/>
      <c r="K104" s="56"/>
      <c r="L104" s="42" t="s">
        <v>23</v>
      </c>
      <c r="M104" s="56"/>
      <c r="N104" s="95" t="s">
        <v>39</v>
      </c>
      <c r="O104" s="92"/>
      <c r="P104" s="96"/>
      <c r="Q104" s="96"/>
      <c r="R104" s="96"/>
      <c r="S104" s="96"/>
      <c r="T104" s="97"/>
      <c r="X104" s="28"/>
      <c r="Y104" s="28"/>
      <c r="Z104" s="28"/>
      <c r="AA104" s="28"/>
      <c r="AB104" s="28"/>
      <c r="AC104" s="28"/>
      <c r="AD104" s="28"/>
      <c r="AE104" s="28"/>
      <c r="AF104" s="28"/>
      <c r="AG104" s="28"/>
      <c r="AH104" s="28"/>
      <c r="AI104" s="28"/>
      <c r="AJ104" s="28"/>
      <c r="AK104" s="28"/>
      <c r="AL104" s="28"/>
      <c r="AM104" s="28"/>
      <c r="AN104" s="28"/>
      <c r="AO104" s="28"/>
      <c r="AP104" s="145"/>
      <c r="AQ104" s="145"/>
      <c r="AR104" s="28"/>
      <c r="AS104" s="28"/>
      <c r="AT104" s="28"/>
    </row>
    <row r="105" spans="2:57" ht="15" customHeight="1">
      <c r="B105" s="42" t="s">
        <v>26</v>
      </c>
      <c r="C105" s="49"/>
      <c r="D105" s="49"/>
      <c r="E105" s="53" t="s">
        <v>36</v>
      </c>
      <c r="F105" s="54"/>
      <c r="G105" s="54"/>
      <c r="H105" s="54"/>
      <c r="I105" s="54"/>
      <c r="J105" s="55"/>
      <c r="K105" s="56"/>
      <c r="L105" s="42" t="s">
        <v>27</v>
      </c>
      <c r="M105" s="56"/>
      <c r="N105" s="95" t="s">
        <v>41</v>
      </c>
      <c r="O105" s="92"/>
      <c r="P105" s="98"/>
      <c r="Q105" s="96"/>
      <c r="R105" s="96"/>
      <c r="S105" s="96"/>
      <c r="T105" s="97"/>
      <c r="X105" s="28"/>
      <c r="Y105" s="28"/>
      <c r="Z105" s="28"/>
      <c r="AA105" s="28"/>
      <c r="AB105" s="28"/>
      <c r="AC105" s="28"/>
      <c r="AD105" s="28"/>
      <c r="AE105" s="28"/>
      <c r="AF105" s="28"/>
      <c r="AG105" s="28"/>
      <c r="AH105" s="28"/>
      <c r="AI105" s="28"/>
      <c r="AJ105" s="28"/>
      <c r="AK105" s="28"/>
      <c r="AL105" s="28"/>
      <c r="AM105" s="28"/>
      <c r="AN105" s="28"/>
      <c r="AO105" s="28"/>
      <c r="AP105" s="145"/>
      <c r="AQ105" s="145"/>
      <c r="AR105" s="28"/>
      <c r="AS105" s="28"/>
      <c r="AT105" s="28"/>
    </row>
    <row r="106" spans="2:57" ht="15" customHeight="1">
      <c r="B106" s="42" t="s">
        <v>30</v>
      </c>
      <c r="C106" s="49"/>
      <c r="D106" s="49"/>
      <c r="E106" s="53" t="s">
        <v>37</v>
      </c>
      <c r="F106" s="57"/>
      <c r="G106" s="57"/>
      <c r="H106" s="57"/>
      <c r="I106" s="57"/>
      <c r="J106" s="55"/>
      <c r="K106" s="49"/>
      <c r="L106" s="42" t="s">
        <v>32</v>
      </c>
      <c r="M106" s="49"/>
      <c r="N106" s="95" t="s">
        <v>38</v>
      </c>
      <c r="O106" s="96"/>
      <c r="P106" s="96"/>
      <c r="Q106" s="96"/>
      <c r="R106" s="96"/>
      <c r="S106" s="96"/>
      <c r="T106" s="97"/>
      <c r="AP106" s="143"/>
      <c r="AQ106" s="143"/>
    </row>
    <row r="107" spans="2:57" ht="15" customHeight="1">
      <c r="D107" s="49"/>
      <c r="E107" s="49"/>
      <c r="F107" s="49"/>
      <c r="G107" s="49"/>
      <c r="H107" s="49"/>
      <c r="I107" s="49"/>
      <c r="J107" s="49"/>
      <c r="K107" s="49"/>
      <c r="L107" s="49"/>
      <c r="M107" s="49"/>
      <c r="AP107" s="143"/>
      <c r="AQ107" s="143"/>
    </row>
    <row r="108" spans="2:57" ht="15" customHeight="1">
      <c r="AP108" s="143"/>
      <c r="AQ108" s="143"/>
      <c r="AW108" s="192" t="s">
        <v>1616</v>
      </c>
      <c r="AX108" s="192"/>
      <c r="AY108" s="192"/>
      <c r="AZ108" s="192"/>
      <c r="BA108" s="192"/>
      <c r="BB108" s="192"/>
      <c r="BC108" s="192"/>
      <c r="BD108" s="192"/>
      <c r="BE108" s="49"/>
    </row>
    <row r="109" spans="2:57" ht="15" customHeight="1">
      <c r="B109" s="192" t="s">
        <v>4</v>
      </c>
      <c r="C109" s="192"/>
      <c r="D109" s="192"/>
      <c r="E109" s="192"/>
      <c r="F109" s="192"/>
      <c r="G109" s="192"/>
      <c r="H109" s="192"/>
      <c r="I109" s="192"/>
      <c r="J109" s="192"/>
      <c r="K109" s="192"/>
      <c r="L109" s="192"/>
      <c r="M109" s="49"/>
      <c r="P109" s="49"/>
      <c r="AH109" s="108" t="s">
        <v>3</v>
      </c>
      <c r="AP109" s="143"/>
      <c r="AQ109" s="143"/>
      <c r="AW109" s="192" t="s">
        <v>53</v>
      </c>
      <c r="AX109" s="192"/>
      <c r="AY109" s="192"/>
      <c r="AZ109" s="192"/>
      <c r="BA109" s="192"/>
      <c r="BB109" s="192"/>
      <c r="BC109" s="192"/>
      <c r="BD109" s="192"/>
      <c r="BE109" s="49"/>
    </row>
    <row r="110" spans="2:57" ht="15" customHeight="1">
      <c r="B110" s="192" t="s">
        <v>877</v>
      </c>
      <c r="C110" s="192"/>
      <c r="D110" s="192"/>
      <c r="E110" s="192"/>
      <c r="F110" s="192"/>
      <c r="G110" s="192"/>
      <c r="H110" s="192"/>
      <c r="I110" s="192"/>
      <c r="J110" s="192"/>
      <c r="K110" s="192"/>
      <c r="L110" s="192"/>
      <c r="M110" s="49"/>
      <c r="AH110" s="103"/>
      <c r="AP110" s="143"/>
      <c r="AQ110" s="143"/>
    </row>
    <row r="111" spans="2:57" ht="15" customHeight="1">
      <c r="D111" s="49"/>
      <c r="E111" s="49"/>
      <c r="F111" s="49"/>
      <c r="G111" s="49"/>
      <c r="H111" s="49"/>
      <c r="I111" s="49"/>
      <c r="J111" s="49"/>
      <c r="K111" s="49"/>
      <c r="L111" s="49"/>
      <c r="M111" s="49"/>
      <c r="AH111" s="49"/>
      <c r="AP111" s="143"/>
      <c r="AQ111" s="143"/>
    </row>
    <row r="112" spans="2:57" ht="15" customHeight="1">
      <c r="D112" s="49"/>
      <c r="E112" s="49"/>
      <c r="F112" s="49"/>
      <c r="G112" s="49"/>
      <c r="H112" s="49"/>
      <c r="I112" s="49"/>
      <c r="J112" s="49"/>
      <c r="K112" s="49"/>
      <c r="L112" s="49"/>
      <c r="M112" s="49"/>
      <c r="AH112" s="49"/>
      <c r="AP112" s="143"/>
      <c r="AQ112" s="143"/>
    </row>
    <row r="113" spans="2:57" ht="15" customHeight="1">
      <c r="B113" s="190" t="s">
        <v>2</v>
      </c>
      <c r="C113" s="190"/>
      <c r="D113" s="190"/>
      <c r="E113" s="190"/>
      <c r="F113" s="190"/>
      <c r="G113" s="190"/>
      <c r="H113" s="190"/>
      <c r="I113" s="190"/>
      <c r="J113" s="190"/>
      <c r="K113" s="190"/>
      <c r="L113" s="190"/>
      <c r="M113" s="58"/>
      <c r="P113" s="58"/>
      <c r="AH113" s="58" t="s">
        <v>52</v>
      </c>
      <c r="AP113" s="143"/>
      <c r="AQ113" s="143"/>
      <c r="AW113" s="190" t="s">
        <v>51</v>
      </c>
      <c r="AX113" s="190"/>
      <c r="AY113" s="190"/>
      <c r="AZ113" s="190"/>
      <c r="BA113" s="190"/>
      <c r="BB113" s="190"/>
      <c r="BC113" s="190"/>
      <c r="BD113" s="190"/>
      <c r="BE113" s="58"/>
    </row>
    <row r="114" spans="2:57" ht="15" customHeight="1">
      <c r="B114" s="191" t="s">
        <v>1</v>
      </c>
      <c r="C114" s="191"/>
      <c r="D114" s="191"/>
      <c r="E114" s="191"/>
      <c r="F114" s="191"/>
      <c r="G114" s="191"/>
      <c r="H114" s="191"/>
      <c r="I114" s="191"/>
      <c r="J114" s="191"/>
      <c r="K114" s="191"/>
      <c r="L114" s="191"/>
      <c r="M114" s="49"/>
      <c r="P114" s="49"/>
      <c r="AH114" s="111" t="s">
        <v>0</v>
      </c>
      <c r="AP114" s="143"/>
      <c r="AQ114" s="143"/>
      <c r="AW114" s="191" t="s">
        <v>657</v>
      </c>
      <c r="AX114" s="191"/>
      <c r="AY114" s="191"/>
      <c r="AZ114" s="191"/>
      <c r="BA114" s="191"/>
      <c r="BB114" s="191"/>
      <c r="BC114" s="191"/>
      <c r="BD114" s="191"/>
      <c r="BE114" s="49"/>
    </row>
    <row r="115" spans="2:57" ht="15" customHeight="1">
      <c r="D115" s="49"/>
      <c r="E115" s="49"/>
      <c r="F115" s="49"/>
      <c r="G115" s="49"/>
      <c r="H115" s="49"/>
      <c r="I115" s="49"/>
      <c r="J115" s="49"/>
      <c r="K115" s="49"/>
      <c r="L115" s="49"/>
      <c r="M115" s="49"/>
    </row>
  </sheetData>
  <autoFilter ref="B12:BE100" xr:uid="{1C80A187-FFD8-4811-811E-448AD66CFC73}"/>
  <sortState xmlns:xlrd2="http://schemas.microsoft.com/office/spreadsheetml/2017/richdata2" ref="E13:M48">
    <sortCondition ref="E13:E48"/>
  </sortState>
  <mergeCells count="291">
    <mergeCell ref="Q9:AA9"/>
    <mergeCell ref="BB10:BB11"/>
    <mergeCell ref="BC10:BC11"/>
    <mergeCell ref="BD10:BD11"/>
    <mergeCell ref="BB13:BB16"/>
    <mergeCell ref="BE10:BE11"/>
    <mergeCell ref="AW9:BE9"/>
    <mergeCell ref="BB37:BB40"/>
    <mergeCell ref="BC37:BC40"/>
    <mergeCell ref="BD37:BD40"/>
    <mergeCell ref="BE37:BE40"/>
    <mergeCell ref="BC17:BC20"/>
    <mergeCell ref="BD17:BD20"/>
    <mergeCell ref="BE17:BE20"/>
    <mergeCell ref="AX25:AX28"/>
    <mergeCell ref="BA37:BA40"/>
    <mergeCell ref="AW25:AW28"/>
    <mergeCell ref="BE13:BE16"/>
    <mergeCell ref="BE25:BE28"/>
    <mergeCell ref="AB9:AU9"/>
    <mergeCell ref="AZ10:AZ11"/>
    <mergeCell ref="BA10:BA11"/>
    <mergeCell ref="BA33:BA36"/>
    <mergeCell ref="AX21:AX24"/>
    <mergeCell ref="AY21:AY24"/>
    <mergeCell ref="AZ21:AZ24"/>
    <mergeCell ref="BA21:BA24"/>
    <mergeCell ref="BD21:BD24"/>
    <mergeCell ref="BB21:BB24"/>
    <mergeCell ref="BC21:BC24"/>
    <mergeCell ref="BA17:BA20"/>
    <mergeCell ref="BB17:BB20"/>
    <mergeCell ref="AW13:AW16"/>
    <mergeCell ref="AX13:AX16"/>
    <mergeCell ref="AY13:AY16"/>
    <mergeCell ref="AZ13:AZ16"/>
    <mergeCell ref="BA13:BA16"/>
    <mergeCell ref="D21:K24"/>
    <mergeCell ref="AW113:BD113"/>
    <mergeCell ref="AW114:BD114"/>
    <mergeCell ref="AW109:BD109"/>
    <mergeCell ref="BC13:BC16"/>
    <mergeCell ref="BD13:BD16"/>
    <mergeCell ref="AZ25:AZ28"/>
    <mergeCell ref="BA25:BA28"/>
    <mergeCell ref="BB25:BB28"/>
    <mergeCell ref="BC25:BC28"/>
    <mergeCell ref="D33:K36"/>
    <mergeCell ref="L33:N36"/>
    <mergeCell ref="BD25:BD28"/>
    <mergeCell ref="AW21:AW24"/>
    <mergeCell ref="AW33:AW36"/>
    <mergeCell ref="AX33:AX36"/>
    <mergeCell ref="AY33:AY36"/>
    <mergeCell ref="AZ33:AZ36"/>
    <mergeCell ref="AX49:AX52"/>
    <mergeCell ref="BD61:BD64"/>
    <mergeCell ref="AZ29:AZ32"/>
    <mergeCell ref="BA29:BA32"/>
    <mergeCell ref="BB29:BB32"/>
    <mergeCell ref="AY29:AY32"/>
    <mergeCell ref="B10:B11"/>
    <mergeCell ref="L10:N11"/>
    <mergeCell ref="O10:O11"/>
    <mergeCell ref="AW10:AW11"/>
    <mergeCell ref="AX10:AX11"/>
    <mergeCell ref="AW108:BD108"/>
    <mergeCell ref="B37:B40"/>
    <mergeCell ref="D37:K40"/>
    <mergeCell ref="L37:N40"/>
    <mergeCell ref="B13:B16"/>
    <mergeCell ref="D13:K16"/>
    <mergeCell ref="L13:N16"/>
    <mergeCell ref="B25:B28"/>
    <mergeCell ref="D25:K28"/>
    <mergeCell ref="L25:N28"/>
    <mergeCell ref="B61:B64"/>
    <mergeCell ref="B69:B72"/>
    <mergeCell ref="B45:B48"/>
    <mergeCell ref="E102:I102"/>
    <mergeCell ref="D10:K11"/>
    <mergeCell ref="AY10:AY11"/>
    <mergeCell ref="B33:B36"/>
    <mergeCell ref="B49:B52"/>
    <mergeCell ref="AY25:AY28"/>
    <mergeCell ref="B85:B88"/>
    <mergeCell ref="D85:K88"/>
    <mergeCell ref="L85:N88"/>
    <mergeCell ref="B73:B76"/>
    <mergeCell ref="D73:K76"/>
    <mergeCell ref="L73:N76"/>
    <mergeCell ref="B77:B80"/>
    <mergeCell ref="D77:K80"/>
    <mergeCell ref="L77:N80"/>
    <mergeCell ref="B81:B84"/>
    <mergeCell ref="D81:K84"/>
    <mergeCell ref="L81:N84"/>
    <mergeCell ref="B65:B68"/>
    <mergeCell ref="D65:K68"/>
    <mergeCell ref="L65:N68"/>
    <mergeCell ref="D69:K72"/>
    <mergeCell ref="L69:N72"/>
    <mergeCell ref="D61:K64"/>
    <mergeCell ref="L61:N64"/>
    <mergeCell ref="BB61:BB64"/>
    <mergeCell ref="BC61:BC64"/>
    <mergeCell ref="BC41:BC44"/>
    <mergeCell ref="BD41:BD44"/>
    <mergeCell ref="AY37:AY40"/>
    <mergeCell ref="AZ37:AZ40"/>
    <mergeCell ref="BA53:BA56"/>
    <mergeCell ref="AY41:AY44"/>
    <mergeCell ref="AZ41:AZ44"/>
    <mergeCell ref="BA41:BA44"/>
    <mergeCell ref="AY49:AY52"/>
    <mergeCell ref="AZ49:AZ52"/>
    <mergeCell ref="BA49:BA52"/>
    <mergeCell ref="BB49:BB52"/>
    <mergeCell ref="BC49:BC52"/>
    <mergeCell ref="BD49:BD52"/>
    <mergeCell ref="BB53:BB56"/>
    <mergeCell ref="BE61:BE64"/>
    <mergeCell ref="BB65:BB68"/>
    <mergeCell ref="BC65:BC68"/>
    <mergeCell ref="BD65:BD68"/>
    <mergeCell ref="BE65:BE68"/>
    <mergeCell ref="AW69:AW72"/>
    <mergeCell ref="AX69:AX72"/>
    <mergeCell ref="AY69:AY72"/>
    <mergeCell ref="AZ69:AZ72"/>
    <mergeCell ref="BA69:BA72"/>
    <mergeCell ref="BB69:BB72"/>
    <mergeCell ref="BC69:BC72"/>
    <mergeCell ref="BD69:BD72"/>
    <mergeCell ref="BE69:BE72"/>
    <mergeCell ref="AW65:AW68"/>
    <mergeCell ref="AX65:AX68"/>
    <mergeCell ref="AY65:AY68"/>
    <mergeCell ref="AZ65:AZ68"/>
    <mergeCell ref="BA65:BA68"/>
    <mergeCell ref="AW61:AW64"/>
    <mergeCell ref="AX61:AX64"/>
    <mergeCell ref="AY61:AY64"/>
    <mergeCell ref="AZ61:AZ64"/>
    <mergeCell ref="BA61:BA64"/>
    <mergeCell ref="BB73:BB76"/>
    <mergeCell ref="BC73:BC76"/>
    <mergeCell ref="BD73:BD76"/>
    <mergeCell ref="BE73:BE76"/>
    <mergeCell ref="AW77:AW80"/>
    <mergeCell ref="AX77:AX80"/>
    <mergeCell ref="AY77:AY80"/>
    <mergeCell ref="AZ77:AZ80"/>
    <mergeCell ref="BA77:BA80"/>
    <mergeCell ref="BB77:BB80"/>
    <mergeCell ref="BC77:BC80"/>
    <mergeCell ref="BD77:BD80"/>
    <mergeCell ref="BE77:BE80"/>
    <mergeCell ref="AW73:AW76"/>
    <mergeCell ref="AX73:AX76"/>
    <mergeCell ref="AY73:AY76"/>
    <mergeCell ref="AZ73:AZ76"/>
    <mergeCell ref="BA73:BA76"/>
    <mergeCell ref="B6:BE6"/>
    <mergeCell ref="B7:BE7"/>
    <mergeCell ref="BC89:BC92"/>
    <mergeCell ref="BD89:BD92"/>
    <mergeCell ref="BE89:BE92"/>
    <mergeCell ref="B97:B100"/>
    <mergeCell ref="D97:K100"/>
    <mergeCell ref="L97:N100"/>
    <mergeCell ref="AW97:AW100"/>
    <mergeCell ref="AX97:AX100"/>
    <mergeCell ref="AY97:AY100"/>
    <mergeCell ref="AZ97:AZ100"/>
    <mergeCell ref="BA97:BA100"/>
    <mergeCell ref="BB97:BB100"/>
    <mergeCell ref="BC97:BC100"/>
    <mergeCell ref="BD97:BD100"/>
    <mergeCell ref="BE97:BE100"/>
    <mergeCell ref="B89:B92"/>
    <mergeCell ref="D89:K92"/>
    <mergeCell ref="L89:N92"/>
    <mergeCell ref="AW89:AW92"/>
    <mergeCell ref="AX89:AX92"/>
    <mergeCell ref="AY89:AY92"/>
    <mergeCell ref="AZ89:AZ92"/>
    <mergeCell ref="BC93:BC96"/>
    <mergeCell ref="BD93:BD96"/>
    <mergeCell ref="BE93:BE96"/>
    <mergeCell ref="B93:B96"/>
    <mergeCell ref="D93:K96"/>
    <mergeCell ref="L93:N96"/>
    <mergeCell ref="AW93:AW96"/>
    <mergeCell ref="AX93:AX96"/>
    <mergeCell ref="AY93:AY96"/>
    <mergeCell ref="AZ93:AZ96"/>
    <mergeCell ref="BA93:BA96"/>
    <mergeCell ref="BB93:BB96"/>
    <mergeCell ref="BA89:BA92"/>
    <mergeCell ref="BB89:BB92"/>
    <mergeCell ref="BB81:BB84"/>
    <mergeCell ref="BC81:BC84"/>
    <mergeCell ref="BD81:BD84"/>
    <mergeCell ref="BE81:BE84"/>
    <mergeCell ref="AW85:AW88"/>
    <mergeCell ref="AX85:AX88"/>
    <mergeCell ref="AY85:AY88"/>
    <mergeCell ref="AZ85:AZ88"/>
    <mergeCell ref="BA85:BA88"/>
    <mergeCell ref="BB85:BB88"/>
    <mergeCell ref="BC85:BC88"/>
    <mergeCell ref="BD85:BD88"/>
    <mergeCell ref="BE85:BE88"/>
    <mergeCell ref="AW81:AW84"/>
    <mergeCell ref="AX81:AX84"/>
    <mergeCell ref="AY81:AY84"/>
    <mergeCell ref="AZ81:AZ84"/>
    <mergeCell ref="BA81:BA84"/>
    <mergeCell ref="B17:B20"/>
    <mergeCell ref="D17:K20"/>
    <mergeCell ref="L17:N20"/>
    <mergeCell ref="AW17:AW20"/>
    <mergeCell ref="AX17:AX20"/>
    <mergeCell ref="AY17:AY20"/>
    <mergeCell ref="AZ17:AZ20"/>
    <mergeCell ref="AX53:AX56"/>
    <mergeCell ref="AY53:AY56"/>
    <mergeCell ref="B21:B24"/>
    <mergeCell ref="AZ53:AZ56"/>
    <mergeCell ref="AW37:AW40"/>
    <mergeCell ref="AX37:AX40"/>
    <mergeCell ref="AW29:AW32"/>
    <mergeCell ref="AX29:AX32"/>
    <mergeCell ref="AW41:AW44"/>
    <mergeCell ref="AX41:AX44"/>
    <mergeCell ref="D41:K44"/>
    <mergeCell ref="D45:K48"/>
    <mergeCell ref="L45:N48"/>
    <mergeCell ref="L41:N44"/>
    <mergeCell ref="D49:K52"/>
    <mergeCell ref="L49:N52"/>
    <mergeCell ref="AW49:AW52"/>
    <mergeCell ref="B53:B56"/>
    <mergeCell ref="D53:K56"/>
    <mergeCell ref="BE21:BE24"/>
    <mergeCell ref="BB33:BB36"/>
    <mergeCell ref="BC33:BC36"/>
    <mergeCell ref="BD33:BD36"/>
    <mergeCell ref="BE33:BE36"/>
    <mergeCell ref="B41:B44"/>
    <mergeCell ref="BC45:BC48"/>
    <mergeCell ref="BD45:BD48"/>
    <mergeCell ref="BE45:BE48"/>
    <mergeCell ref="AW45:AW48"/>
    <mergeCell ref="AX45:AX48"/>
    <mergeCell ref="AY45:AY48"/>
    <mergeCell ref="AZ45:AZ48"/>
    <mergeCell ref="BA45:BA48"/>
    <mergeCell ref="BB45:BB48"/>
    <mergeCell ref="B29:B32"/>
    <mergeCell ref="D29:K32"/>
    <mergeCell ref="L29:N32"/>
    <mergeCell ref="BE41:BE44"/>
    <mergeCell ref="BC53:BC56"/>
    <mergeCell ref="BD53:BD56"/>
    <mergeCell ref="BB41:BB44"/>
    <mergeCell ref="L53:N56"/>
    <mergeCell ref="AW53:AW56"/>
    <mergeCell ref="BE49:BE52"/>
    <mergeCell ref="L21:N24"/>
    <mergeCell ref="B113:L113"/>
    <mergeCell ref="B114:L114"/>
    <mergeCell ref="B109:L109"/>
    <mergeCell ref="B110:L110"/>
    <mergeCell ref="BE53:BE56"/>
    <mergeCell ref="BC29:BC32"/>
    <mergeCell ref="BD29:BD32"/>
    <mergeCell ref="BE29:BE32"/>
    <mergeCell ref="B57:B60"/>
    <mergeCell ref="D57:K60"/>
    <mergeCell ref="L57:N60"/>
    <mergeCell ref="AW57:AW60"/>
    <mergeCell ref="AX57:AX60"/>
    <mergeCell ref="AY57:AY60"/>
    <mergeCell ref="AZ57:AZ60"/>
    <mergeCell ref="BA57:BA60"/>
    <mergeCell ref="BB57:BB60"/>
    <mergeCell ref="BC57:BC60"/>
    <mergeCell ref="BD57:BD60"/>
    <mergeCell ref="BE57:BE60"/>
  </mergeCells>
  <printOptions horizontalCentered="1"/>
  <pageMargins left="0.19685039370078741" right="0.19685039370078741" top="0.59055118110236227" bottom="0.39370078740157483" header="0.31496062992125984" footer="0.31496062992125984"/>
  <pageSetup paperSize="9" scale="54" orientation="landscape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27DDF-D2E9-4CB0-AAF8-9F6B93776541}">
  <sheetPr>
    <tabColor rgb="FF00B050"/>
  </sheetPr>
  <dimension ref="B6:BE47"/>
  <sheetViews>
    <sheetView zoomScaleNormal="100" workbookViewId="0">
      <pane xSplit="15" ySplit="12" topLeftCell="P23" activePane="bottomRight" state="frozen"/>
      <selection pane="topRight" activeCell="P1" sqref="P1"/>
      <selection pane="bottomLeft" activeCell="A13" sqref="A13"/>
      <selection pane="bottomRight" activeCell="Y32" sqref="Y32"/>
    </sheetView>
  </sheetViews>
  <sheetFormatPr defaultColWidth="8.85546875" defaultRowHeight="12.75"/>
  <cols>
    <col min="1" max="1" width="2.7109375" style="26" customWidth="1"/>
    <col min="2" max="2" width="3.85546875" style="26" customWidth="1"/>
    <col min="3" max="3" width="5.7109375" style="26" hidden="1" customWidth="1"/>
    <col min="4" max="4" width="1.7109375" style="26" customWidth="1"/>
    <col min="5" max="5" width="6.28515625" style="26" customWidth="1"/>
    <col min="6" max="7" width="1.7109375" style="26" customWidth="1"/>
    <col min="8" max="8" width="4.85546875" style="26" customWidth="1"/>
    <col min="9" max="9" width="1" style="26" customWidth="1"/>
    <col min="10" max="10" width="1.85546875" style="26" customWidth="1"/>
    <col min="11" max="11" width="1.7109375" style="26" customWidth="1"/>
    <col min="12" max="12" width="5.7109375" style="26" customWidth="1"/>
    <col min="13" max="13" width="1.7109375" style="26" customWidth="1"/>
    <col min="14" max="14" width="8.7109375" style="28" customWidth="1"/>
    <col min="15" max="15" width="7.28515625" style="28" bestFit="1" customWidth="1"/>
    <col min="16" max="16" width="1.7109375" style="26" customWidth="1"/>
    <col min="17" max="47" width="5.7109375" style="26" customWidth="1"/>
    <col min="48" max="48" width="1.7109375" style="26" customWidth="1"/>
    <col min="49" max="56" width="3.7109375" style="26" customWidth="1"/>
    <col min="57" max="57" width="9" style="26" customWidth="1"/>
    <col min="58" max="16384" width="8.85546875" style="26"/>
  </cols>
  <sheetData>
    <row r="6" spans="2:57" ht="15">
      <c r="B6" s="198" t="s">
        <v>885</v>
      </c>
      <c r="C6" s="198"/>
      <c r="D6" s="198"/>
      <c r="E6" s="198"/>
      <c r="F6" s="198"/>
      <c r="G6" s="198"/>
      <c r="H6" s="198"/>
      <c r="I6" s="198"/>
      <c r="J6" s="198"/>
      <c r="K6" s="198"/>
      <c r="L6" s="198"/>
      <c r="M6" s="198"/>
      <c r="N6" s="198"/>
      <c r="O6" s="198"/>
      <c r="P6" s="198"/>
      <c r="Q6" s="198"/>
      <c r="R6" s="198"/>
      <c r="S6" s="198"/>
      <c r="T6" s="198"/>
      <c r="U6" s="198"/>
      <c r="V6" s="198"/>
      <c r="W6" s="198"/>
      <c r="X6" s="198"/>
      <c r="Y6" s="198"/>
      <c r="Z6" s="198"/>
      <c r="AA6" s="198"/>
      <c r="AB6" s="198"/>
      <c r="AC6" s="198"/>
      <c r="AD6" s="198"/>
      <c r="AE6" s="198"/>
      <c r="AF6" s="198"/>
      <c r="AG6" s="198"/>
      <c r="AH6" s="198"/>
      <c r="AI6" s="198"/>
      <c r="AJ6" s="198"/>
      <c r="AK6" s="198"/>
      <c r="AL6" s="198"/>
      <c r="AM6" s="198"/>
      <c r="AN6" s="198"/>
      <c r="AO6" s="198"/>
      <c r="AP6" s="198"/>
      <c r="AQ6" s="198"/>
      <c r="AR6" s="198"/>
      <c r="AS6" s="198"/>
      <c r="AT6" s="198"/>
      <c r="AU6" s="198"/>
      <c r="AV6" s="198"/>
      <c r="AW6" s="198"/>
      <c r="AX6" s="198"/>
      <c r="AY6" s="198"/>
      <c r="AZ6" s="198"/>
      <c r="BA6" s="198"/>
      <c r="BB6" s="198"/>
      <c r="BC6" s="198"/>
      <c r="BD6" s="198"/>
      <c r="BE6" s="198"/>
    </row>
    <row r="7" spans="2:57">
      <c r="B7" s="199" t="s">
        <v>884</v>
      </c>
      <c r="C7" s="199"/>
      <c r="D7" s="199"/>
      <c r="E7" s="199"/>
      <c r="F7" s="199"/>
      <c r="G7" s="199"/>
      <c r="H7" s="199"/>
      <c r="I7" s="199"/>
      <c r="J7" s="199"/>
      <c r="K7" s="199"/>
      <c r="L7" s="199"/>
      <c r="M7" s="199"/>
      <c r="N7" s="199"/>
      <c r="O7" s="199"/>
      <c r="P7" s="199"/>
      <c r="Q7" s="199"/>
      <c r="R7" s="199"/>
      <c r="S7" s="199"/>
      <c r="T7" s="199"/>
      <c r="U7" s="199"/>
      <c r="V7" s="199"/>
      <c r="W7" s="199"/>
      <c r="X7" s="199"/>
      <c r="Y7" s="199"/>
      <c r="Z7" s="199"/>
      <c r="AA7" s="199"/>
      <c r="AB7" s="199"/>
      <c r="AC7" s="199"/>
      <c r="AD7" s="199"/>
      <c r="AE7" s="199"/>
      <c r="AF7" s="199"/>
      <c r="AG7" s="199"/>
      <c r="AH7" s="199"/>
      <c r="AI7" s="199"/>
      <c r="AJ7" s="199"/>
      <c r="AK7" s="199"/>
      <c r="AL7" s="199"/>
      <c r="AM7" s="199"/>
      <c r="AN7" s="199"/>
      <c r="AO7" s="199"/>
      <c r="AP7" s="199"/>
      <c r="AQ7" s="199"/>
      <c r="AR7" s="199"/>
      <c r="AS7" s="199"/>
      <c r="AT7" s="199"/>
      <c r="AU7" s="199"/>
      <c r="AV7" s="199"/>
      <c r="AW7" s="199"/>
      <c r="AX7" s="199"/>
      <c r="AY7" s="199"/>
      <c r="AZ7" s="199"/>
      <c r="BA7" s="199"/>
      <c r="BB7" s="199"/>
      <c r="BC7" s="199"/>
      <c r="BD7" s="199"/>
      <c r="BE7" s="199"/>
    </row>
    <row r="8" spans="2:57" ht="9" customHeight="1">
      <c r="B8" s="27"/>
      <c r="C8" s="27"/>
      <c r="AH8" s="29"/>
      <c r="AI8" s="29"/>
      <c r="AJ8" s="29"/>
    </row>
    <row r="9" spans="2:57" ht="15" customHeight="1">
      <c r="B9" s="27"/>
      <c r="C9" s="27"/>
      <c r="Q9" s="224" t="s">
        <v>881</v>
      </c>
      <c r="R9" s="225"/>
      <c r="S9" s="225"/>
      <c r="T9" s="225"/>
      <c r="U9" s="225"/>
      <c r="V9" s="225"/>
      <c r="W9" s="225"/>
      <c r="X9" s="225"/>
      <c r="Y9" s="225"/>
      <c r="Z9" s="225"/>
      <c r="AA9" s="225"/>
      <c r="AB9" s="224" t="s">
        <v>883</v>
      </c>
      <c r="AC9" s="225"/>
      <c r="AD9" s="225"/>
      <c r="AE9" s="225"/>
      <c r="AF9" s="225"/>
      <c r="AG9" s="225"/>
      <c r="AH9" s="225"/>
      <c r="AI9" s="225"/>
      <c r="AJ9" s="225"/>
      <c r="AK9" s="225"/>
      <c r="AL9" s="225"/>
      <c r="AM9" s="225"/>
      <c r="AN9" s="225"/>
      <c r="AO9" s="225"/>
      <c r="AP9" s="225"/>
      <c r="AQ9" s="225"/>
      <c r="AR9" s="225"/>
      <c r="AS9" s="225"/>
      <c r="AT9" s="225"/>
      <c r="AU9" s="225"/>
      <c r="AW9" s="221" t="s">
        <v>25</v>
      </c>
      <c r="AX9" s="222"/>
      <c r="AY9" s="222"/>
      <c r="AZ9" s="222"/>
      <c r="BA9" s="222"/>
      <c r="BB9" s="222"/>
      <c r="BC9" s="222"/>
      <c r="BD9" s="222"/>
      <c r="BE9" s="223"/>
    </row>
    <row r="10" spans="2:57" ht="17.25" customHeight="1" thickBot="1">
      <c r="B10" s="200" t="s">
        <v>18</v>
      </c>
      <c r="C10" s="30"/>
      <c r="D10" s="202" t="s">
        <v>17</v>
      </c>
      <c r="E10" s="203"/>
      <c r="F10" s="203"/>
      <c r="G10" s="203"/>
      <c r="H10" s="203"/>
      <c r="I10" s="203"/>
      <c r="J10" s="203"/>
      <c r="K10" s="204"/>
      <c r="L10" s="202" t="s">
        <v>16</v>
      </c>
      <c r="M10" s="203"/>
      <c r="N10" s="204"/>
      <c r="O10" s="208" t="s">
        <v>667</v>
      </c>
      <c r="P10" s="31"/>
      <c r="Q10" s="32">
        <v>21</v>
      </c>
      <c r="R10" s="32">
        <v>22</v>
      </c>
      <c r="S10" s="32">
        <v>23</v>
      </c>
      <c r="T10" s="32">
        <v>24</v>
      </c>
      <c r="U10" s="32">
        <v>25</v>
      </c>
      <c r="V10" s="32">
        <v>26</v>
      </c>
      <c r="W10" s="32">
        <v>27</v>
      </c>
      <c r="X10" s="32">
        <v>28</v>
      </c>
      <c r="Y10" s="32">
        <v>29</v>
      </c>
      <c r="Z10" s="32">
        <v>30</v>
      </c>
      <c r="AA10" s="32">
        <v>31</v>
      </c>
      <c r="AB10" s="32">
        <v>1</v>
      </c>
      <c r="AC10" s="32">
        <v>2</v>
      </c>
      <c r="AD10" s="32">
        <v>3</v>
      </c>
      <c r="AE10" s="32">
        <v>4</v>
      </c>
      <c r="AF10" s="32">
        <v>5</v>
      </c>
      <c r="AG10" s="32">
        <v>6</v>
      </c>
      <c r="AH10" s="32">
        <v>7</v>
      </c>
      <c r="AI10" s="32">
        <v>8</v>
      </c>
      <c r="AJ10" s="32">
        <v>9</v>
      </c>
      <c r="AK10" s="32">
        <v>10</v>
      </c>
      <c r="AL10" s="32">
        <v>11</v>
      </c>
      <c r="AM10" s="32">
        <v>12</v>
      </c>
      <c r="AN10" s="32">
        <v>13</v>
      </c>
      <c r="AO10" s="32">
        <v>14</v>
      </c>
      <c r="AP10" s="32">
        <v>15</v>
      </c>
      <c r="AQ10" s="32">
        <v>16</v>
      </c>
      <c r="AR10" s="32">
        <v>17</v>
      </c>
      <c r="AS10" s="32">
        <v>18</v>
      </c>
      <c r="AT10" s="32">
        <v>19</v>
      </c>
      <c r="AU10" s="32">
        <v>20</v>
      </c>
      <c r="AW10" s="210" t="s">
        <v>28</v>
      </c>
      <c r="AX10" s="210" t="s">
        <v>29</v>
      </c>
      <c r="AY10" s="210" t="s">
        <v>26</v>
      </c>
      <c r="AZ10" s="210" t="s">
        <v>30</v>
      </c>
      <c r="BA10" s="210" t="s">
        <v>31</v>
      </c>
      <c r="BB10" s="210" t="s">
        <v>23</v>
      </c>
      <c r="BC10" s="210" t="s">
        <v>27</v>
      </c>
      <c r="BD10" s="210" t="s">
        <v>32</v>
      </c>
      <c r="BE10" s="219" t="s">
        <v>666</v>
      </c>
    </row>
    <row r="11" spans="2:57" ht="36.75" customHeight="1" thickBot="1">
      <c r="B11" s="201"/>
      <c r="C11" s="30"/>
      <c r="D11" s="205"/>
      <c r="E11" s="206"/>
      <c r="F11" s="206"/>
      <c r="G11" s="206"/>
      <c r="H11" s="206"/>
      <c r="I11" s="206"/>
      <c r="J11" s="206"/>
      <c r="K11" s="207"/>
      <c r="L11" s="205"/>
      <c r="M11" s="206"/>
      <c r="N11" s="207"/>
      <c r="O11" s="209"/>
      <c r="P11" s="31"/>
      <c r="Q11" s="73" t="s">
        <v>45</v>
      </c>
      <c r="R11" s="75" t="s">
        <v>46</v>
      </c>
      <c r="S11" s="75" t="s">
        <v>47</v>
      </c>
      <c r="T11" s="75" t="s">
        <v>48</v>
      </c>
      <c r="U11" s="75" t="s">
        <v>49</v>
      </c>
      <c r="V11" s="75" t="s">
        <v>435</v>
      </c>
      <c r="W11" s="74" t="s">
        <v>44</v>
      </c>
      <c r="X11" s="73" t="s">
        <v>45</v>
      </c>
      <c r="Y11" s="75" t="s">
        <v>46</v>
      </c>
      <c r="Z11" s="75" t="s">
        <v>47</v>
      </c>
      <c r="AA11" s="75" t="s">
        <v>48</v>
      </c>
      <c r="AB11" s="75" t="s">
        <v>49</v>
      </c>
      <c r="AC11" s="75" t="s">
        <v>435</v>
      </c>
      <c r="AD11" s="74" t="s">
        <v>44</v>
      </c>
      <c r="AE11" s="73" t="s">
        <v>45</v>
      </c>
      <c r="AF11" s="75" t="s">
        <v>46</v>
      </c>
      <c r="AG11" s="75" t="s">
        <v>47</v>
      </c>
      <c r="AH11" s="75" t="s">
        <v>48</v>
      </c>
      <c r="AI11" s="75" t="s">
        <v>49</v>
      </c>
      <c r="AJ11" s="75" t="s">
        <v>435</v>
      </c>
      <c r="AK11" s="74" t="s">
        <v>44</v>
      </c>
      <c r="AL11" s="73" t="s">
        <v>45</v>
      </c>
      <c r="AM11" s="75" t="s">
        <v>46</v>
      </c>
      <c r="AN11" s="75" t="s">
        <v>47</v>
      </c>
      <c r="AO11" s="75" t="s">
        <v>48</v>
      </c>
      <c r="AP11" s="75" t="s">
        <v>49</v>
      </c>
      <c r="AQ11" s="75" t="s">
        <v>435</v>
      </c>
      <c r="AR11" s="74" t="s">
        <v>44</v>
      </c>
      <c r="AS11" s="73" t="s">
        <v>45</v>
      </c>
      <c r="AT11" s="75" t="s">
        <v>46</v>
      </c>
      <c r="AU11" s="75" t="s">
        <v>47</v>
      </c>
      <c r="AW11" s="211"/>
      <c r="AX11" s="211"/>
      <c r="AY11" s="211"/>
      <c r="AZ11" s="211"/>
      <c r="BA11" s="211"/>
      <c r="BB11" s="211"/>
      <c r="BC11" s="211"/>
      <c r="BD11" s="211"/>
      <c r="BE11" s="220"/>
    </row>
    <row r="12" spans="2:57" ht="9" customHeight="1" thickBot="1">
      <c r="B12" s="33"/>
      <c r="C12" s="34"/>
      <c r="D12" s="34"/>
      <c r="E12" s="35"/>
      <c r="F12" s="35"/>
      <c r="G12" s="35"/>
      <c r="H12" s="35"/>
      <c r="I12" s="35"/>
      <c r="J12" s="35"/>
      <c r="K12" s="35"/>
      <c r="L12" s="34"/>
      <c r="M12" s="35"/>
      <c r="N12" s="36"/>
      <c r="O12" s="1"/>
      <c r="P12" s="31"/>
      <c r="Q12" s="78"/>
      <c r="R12" s="1"/>
      <c r="S12" s="1"/>
      <c r="T12" s="116"/>
      <c r="U12" s="135"/>
      <c r="V12" s="136"/>
      <c r="W12" s="37"/>
      <c r="X12" s="78"/>
      <c r="Y12" s="1"/>
      <c r="Z12" s="1"/>
      <c r="AA12" s="116"/>
      <c r="AB12" s="135"/>
      <c r="AC12" s="136"/>
      <c r="AD12" s="37"/>
      <c r="AE12" s="78"/>
      <c r="AF12" s="1"/>
      <c r="AG12" s="1"/>
      <c r="AH12" s="116"/>
      <c r="AI12" s="135"/>
      <c r="AJ12" s="136"/>
      <c r="AK12" s="37"/>
      <c r="AL12" s="78"/>
      <c r="AM12" s="1"/>
      <c r="AN12" s="1"/>
      <c r="AO12" s="116"/>
      <c r="AP12" s="135"/>
      <c r="AQ12" s="136"/>
      <c r="AR12" s="37"/>
      <c r="AS12" s="78"/>
      <c r="AT12" s="1"/>
      <c r="AU12" s="116"/>
      <c r="AW12" s="38"/>
      <c r="AX12" s="38"/>
      <c r="AY12" s="38"/>
      <c r="AZ12" s="38"/>
      <c r="BA12" s="38"/>
      <c r="BB12" s="38"/>
      <c r="BC12" s="38"/>
      <c r="BD12" s="38"/>
      <c r="BE12" s="38"/>
    </row>
    <row r="13" spans="2:57" ht="15.95" customHeight="1">
      <c r="B13" s="193">
        <v>1</v>
      </c>
      <c r="C13" s="68">
        <v>12</v>
      </c>
      <c r="D13" s="177" t="s">
        <v>725</v>
      </c>
      <c r="E13" s="178"/>
      <c r="F13" s="178"/>
      <c r="G13" s="178"/>
      <c r="H13" s="178"/>
      <c r="I13" s="178"/>
      <c r="J13" s="178"/>
      <c r="K13" s="179"/>
      <c r="L13" s="177" t="s">
        <v>21</v>
      </c>
      <c r="M13" s="178"/>
      <c r="N13" s="179"/>
      <c r="O13" s="64" t="s">
        <v>668</v>
      </c>
      <c r="P13" s="47"/>
      <c r="Q13" s="77">
        <v>0.3125</v>
      </c>
      <c r="R13" s="81" t="s">
        <v>1034</v>
      </c>
      <c r="S13" s="81" t="s">
        <v>752</v>
      </c>
      <c r="T13" s="115" t="s">
        <v>732</v>
      </c>
      <c r="U13" s="140" t="s">
        <v>533</v>
      </c>
      <c r="V13" s="115" t="s">
        <v>663</v>
      </c>
      <c r="W13" s="79" t="s">
        <v>749</v>
      </c>
      <c r="X13" s="77" t="s">
        <v>734</v>
      </c>
      <c r="Y13" s="81" t="s">
        <v>754</v>
      </c>
      <c r="Z13" s="81" t="s">
        <v>533</v>
      </c>
      <c r="AA13" s="115" t="s">
        <v>1039</v>
      </c>
      <c r="AB13" s="140" t="s">
        <v>734</v>
      </c>
      <c r="AC13" s="115" t="s">
        <v>114</v>
      </c>
      <c r="AD13" s="79">
        <v>0.3298611111111111</v>
      </c>
      <c r="AE13" s="77" t="s">
        <v>734</v>
      </c>
      <c r="AF13" s="81">
        <v>0.33611111111111108</v>
      </c>
      <c r="AG13" s="81">
        <v>0.33888888888888885</v>
      </c>
      <c r="AH13" s="115">
        <v>0.3215277777777778</v>
      </c>
      <c r="AI13" s="140" t="s">
        <v>790</v>
      </c>
      <c r="AJ13" s="115">
        <v>0.33749999999999997</v>
      </c>
      <c r="AK13" s="79">
        <v>0.3125</v>
      </c>
      <c r="AL13" s="77" t="s">
        <v>734</v>
      </c>
      <c r="AM13" s="80">
        <v>0.8354166666666667</v>
      </c>
      <c r="AN13" s="81">
        <v>0.31666666666666665</v>
      </c>
      <c r="AO13" s="115">
        <v>0.3125</v>
      </c>
      <c r="AP13" s="140">
        <v>0.3125</v>
      </c>
      <c r="AQ13" s="140" t="s">
        <v>734</v>
      </c>
      <c r="AR13" s="148">
        <v>0.3125</v>
      </c>
      <c r="AS13" s="149" t="s">
        <v>734</v>
      </c>
      <c r="AT13" s="150">
        <v>0.3125</v>
      </c>
      <c r="AU13" s="140">
        <v>0.3125</v>
      </c>
      <c r="AV13" s="39"/>
      <c r="AW13" s="186">
        <f>COUNTIF(Q15:AU15,$AW$10)</f>
        <v>22</v>
      </c>
      <c r="AX13" s="186">
        <f>COUNTIF(Q15:AU15,$AX$10)</f>
        <v>3</v>
      </c>
      <c r="AY13" s="186">
        <f>COUNTIF(Q15:AU15,$AY$10)</f>
        <v>5</v>
      </c>
      <c r="AZ13" s="186">
        <f>COUNTIF(Q15:AU15,$AZ$10)</f>
        <v>0</v>
      </c>
      <c r="BA13" s="186">
        <f>COUNTIF(Q15:AU15,$BA$10)</f>
        <v>0</v>
      </c>
      <c r="BB13" s="186">
        <f>COUNTIF(Q15:AU15,$BB$10)</f>
        <v>0</v>
      </c>
      <c r="BC13" s="186">
        <f>COUNTIF(Q15:AU15,$BC$10)</f>
        <v>0</v>
      </c>
      <c r="BD13" s="186">
        <f>COUNTIF(Q15:AU15,$BD$10)</f>
        <v>0</v>
      </c>
      <c r="BE13" s="188">
        <f>SUM(Q16:AU16)</f>
        <v>74.5</v>
      </c>
    </row>
    <row r="14" spans="2:57" ht="15.95" customHeight="1">
      <c r="B14" s="194"/>
      <c r="C14" s="69"/>
      <c r="D14" s="180"/>
      <c r="E14" s="181"/>
      <c r="F14" s="181"/>
      <c r="G14" s="181"/>
      <c r="H14" s="181"/>
      <c r="I14" s="181"/>
      <c r="J14" s="181"/>
      <c r="K14" s="182"/>
      <c r="L14" s="180"/>
      <c r="M14" s="181"/>
      <c r="N14" s="182"/>
      <c r="O14" s="65" t="s">
        <v>669</v>
      </c>
      <c r="P14" s="44"/>
      <c r="Q14" s="76">
        <v>0.88888888888888884</v>
      </c>
      <c r="R14" s="80" t="s">
        <v>1034</v>
      </c>
      <c r="S14" s="80" t="s">
        <v>1515</v>
      </c>
      <c r="T14" s="114" t="s">
        <v>1034</v>
      </c>
      <c r="U14" s="141" t="s">
        <v>1517</v>
      </c>
      <c r="V14" s="114" t="s">
        <v>1518</v>
      </c>
      <c r="W14" s="72">
        <v>0.61944444444444446</v>
      </c>
      <c r="X14" s="76" t="s">
        <v>734</v>
      </c>
      <c r="Y14" s="80" t="s">
        <v>1602</v>
      </c>
      <c r="Z14" s="80" t="s">
        <v>1603</v>
      </c>
      <c r="AA14" s="114">
        <v>0.78333333333333333</v>
      </c>
      <c r="AB14" s="141" t="s">
        <v>734</v>
      </c>
      <c r="AC14" s="114">
        <v>0.72916666666666663</v>
      </c>
      <c r="AD14" s="72">
        <v>0.60416666666666663</v>
      </c>
      <c r="AE14" s="76" t="s">
        <v>734</v>
      </c>
      <c r="AF14" s="80">
        <v>0.77083333333333337</v>
      </c>
      <c r="AG14" s="80">
        <v>0.74305555555555547</v>
      </c>
      <c r="AH14" s="114">
        <v>0.8125</v>
      </c>
      <c r="AI14" s="141">
        <v>0.82013888888888886</v>
      </c>
      <c r="AJ14" s="114">
        <v>0.75555555555555554</v>
      </c>
      <c r="AK14" s="72">
        <v>0.7416666666666667</v>
      </c>
      <c r="AL14" s="76" t="s">
        <v>734</v>
      </c>
      <c r="AM14" s="80" t="s">
        <v>1040</v>
      </c>
      <c r="AN14" s="80">
        <v>0.75</v>
      </c>
      <c r="AO14" s="114">
        <v>0.75</v>
      </c>
      <c r="AP14" s="141">
        <v>0.75</v>
      </c>
      <c r="AQ14" s="141" t="s">
        <v>734</v>
      </c>
      <c r="AR14" s="151">
        <v>0.99583333333333324</v>
      </c>
      <c r="AS14" s="152" t="s">
        <v>734</v>
      </c>
      <c r="AT14" s="153">
        <v>0.79166666666666663</v>
      </c>
      <c r="AU14" s="141">
        <v>0.79166666666666663</v>
      </c>
      <c r="AV14" s="40"/>
      <c r="AW14" s="187"/>
      <c r="AX14" s="187"/>
      <c r="AY14" s="187"/>
      <c r="AZ14" s="187"/>
      <c r="BA14" s="187"/>
      <c r="BB14" s="187"/>
      <c r="BC14" s="187"/>
      <c r="BD14" s="187"/>
      <c r="BE14" s="189"/>
    </row>
    <row r="15" spans="2:57" ht="15.95" customHeight="1">
      <c r="B15" s="194"/>
      <c r="C15" s="69"/>
      <c r="D15" s="180"/>
      <c r="E15" s="181"/>
      <c r="F15" s="181"/>
      <c r="G15" s="181"/>
      <c r="H15" s="181"/>
      <c r="I15" s="181"/>
      <c r="J15" s="181"/>
      <c r="K15" s="182"/>
      <c r="L15" s="180"/>
      <c r="M15" s="181"/>
      <c r="N15" s="182"/>
      <c r="O15" s="65" t="s">
        <v>670</v>
      </c>
      <c r="P15" s="44"/>
      <c r="Q15" s="25" t="s">
        <v>29</v>
      </c>
      <c r="R15" s="22" t="s">
        <v>28</v>
      </c>
      <c r="S15" s="22" t="s">
        <v>28</v>
      </c>
      <c r="T15" s="113" t="s">
        <v>28</v>
      </c>
      <c r="U15" s="138" t="s">
        <v>29</v>
      </c>
      <c r="V15" s="22" t="s">
        <v>29</v>
      </c>
      <c r="W15" s="24" t="s">
        <v>28</v>
      </c>
      <c r="X15" s="25" t="s">
        <v>26</v>
      </c>
      <c r="Y15" s="22" t="s">
        <v>28</v>
      </c>
      <c r="Z15" s="22" t="s">
        <v>28</v>
      </c>
      <c r="AA15" s="113" t="s">
        <v>28</v>
      </c>
      <c r="AB15" s="138" t="s">
        <v>26</v>
      </c>
      <c r="AC15" s="22" t="s">
        <v>28</v>
      </c>
      <c r="AD15" s="24" t="s">
        <v>28</v>
      </c>
      <c r="AE15" s="25" t="s">
        <v>26</v>
      </c>
      <c r="AF15" s="22" t="s">
        <v>28</v>
      </c>
      <c r="AG15" s="22" t="s">
        <v>28</v>
      </c>
      <c r="AH15" s="113" t="s">
        <v>28</v>
      </c>
      <c r="AI15" s="138" t="s">
        <v>28</v>
      </c>
      <c r="AJ15" s="22" t="s">
        <v>28</v>
      </c>
      <c r="AK15" s="24" t="s">
        <v>28</v>
      </c>
      <c r="AL15" s="25"/>
      <c r="AM15" s="22" t="s">
        <v>28</v>
      </c>
      <c r="AN15" s="22" t="s">
        <v>28</v>
      </c>
      <c r="AO15" s="113" t="s">
        <v>28</v>
      </c>
      <c r="AP15" s="138" t="s">
        <v>28</v>
      </c>
      <c r="AQ15" s="113" t="s">
        <v>26</v>
      </c>
      <c r="AR15" s="24" t="s">
        <v>28</v>
      </c>
      <c r="AS15" s="154" t="s">
        <v>26</v>
      </c>
      <c r="AT15" s="113" t="s">
        <v>28</v>
      </c>
      <c r="AU15" s="113" t="s">
        <v>28</v>
      </c>
      <c r="AV15" s="40"/>
      <c r="AW15" s="187"/>
      <c r="AX15" s="187"/>
      <c r="AY15" s="187"/>
      <c r="AZ15" s="187"/>
      <c r="BA15" s="187"/>
      <c r="BB15" s="187"/>
      <c r="BC15" s="187"/>
      <c r="BD15" s="187"/>
      <c r="BE15" s="189"/>
    </row>
    <row r="16" spans="2:57" ht="15.95" customHeight="1" thickBot="1">
      <c r="B16" s="195"/>
      <c r="C16" s="71"/>
      <c r="D16" s="180"/>
      <c r="E16" s="181"/>
      <c r="F16" s="181"/>
      <c r="G16" s="181"/>
      <c r="H16" s="181"/>
      <c r="I16" s="181"/>
      <c r="J16" s="181"/>
      <c r="K16" s="182"/>
      <c r="L16" s="180"/>
      <c r="M16" s="181"/>
      <c r="N16" s="182"/>
      <c r="O16" s="67" t="s">
        <v>671</v>
      </c>
      <c r="P16" s="44"/>
      <c r="Q16" s="85">
        <f>21.5-0.5-16</f>
        <v>5</v>
      </c>
      <c r="R16" s="62">
        <f>21-0.5-16</f>
        <v>4.5</v>
      </c>
      <c r="S16" s="62">
        <v>5.5</v>
      </c>
      <c r="T16" s="62">
        <f>21-0.5-16</f>
        <v>4.5</v>
      </c>
      <c r="U16" s="62">
        <f>19.5-0.5-16</f>
        <v>3</v>
      </c>
      <c r="V16" s="62">
        <f>22-0.5-17</f>
        <v>4.5</v>
      </c>
      <c r="W16" s="63">
        <f>15-13</f>
        <v>2</v>
      </c>
      <c r="X16" s="84"/>
      <c r="Y16" s="62">
        <f>21-0.5-16</f>
        <v>4.5</v>
      </c>
      <c r="Z16" s="62">
        <v>2.5</v>
      </c>
      <c r="AA16" s="62"/>
      <c r="AB16" s="139"/>
      <c r="AC16" s="82"/>
      <c r="AD16" s="63"/>
      <c r="AE16" s="84"/>
      <c r="AF16" s="62"/>
      <c r="AG16" s="62">
        <v>2</v>
      </c>
      <c r="AH16" s="62">
        <f>19.5-0.5-16</f>
        <v>3</v>
      </c>
      <c r="AI16" s="62">
        <f>19.5-0.5-16</f>
        <v>3</v>
      </c>
      <c r="AJ16" s="82"/>
      <c r="AK16" s="63">
        <f>17.5-13</f>
        <v>4.5</v>
      </c>
      <c r="AL16" s="84"/>
      <c r="AM16" s="62">
        <f>20-0.5-16</f>
        <v>3.5</v>
      </c>
      <c r="AN16" s="62">
        <v>2</v>
      </c>
      <c r="AO16" s="62">
        <v>2</v>
      </c>
      <c r="AP16" s="62">
        <v>2</v>
      </c>
      <c r="AQ16" s="62"/>
      <c r="AR16" s="63">
        <v>10.5</v>
      </c>
      <c r="AS16" s="156"/>
      <c r="AT16" s="158">
        <v>3</v>
      </c>
      <c r="AU16" s="62">
        <v>3</v>
      </c>
      <c r="AV16" s="40"/>
      <c r="AW16" s="187"/>
      <c r="AX16" s="187"/>
      <c r="AY16" s="187"/>
      <c r="AZ16" s="187"/>
      <c r="BA16" s="187"/>
      <c r="BB16" s="187"/>
      <c r="BC16" s="187"/>
      <c r="BD16" s="187"/>
      <c r="BE16" s="189"/>
    </row>
    <row r="17" spans="2:57" ht="15.95" customHeight="1">
      <c r="B17" s="193">
        <f>B13+1</f>
        <v>2</v>
      </c>
      <c r="C17" s="68">
        <v>16</v>
      </c>
      <c r="D17" s="177" t="s">
        <v>14</v>
      </c>
      <c r="E17" s="178"/>
      <c r="F17" s="178"/>
      <c r="G17" s="178"/>
      <c r="H17" s="178"/>
      <c r="I17" s="178"/>
      <c r="J17" s="178"/>
      <c r="K17" s="179"/>
      <c r="L17" s="177" t="s">
        <v>21</v>
      </c>
      <c r="M17" s="178"/>
      <c r="N17" s="179"/>
      <c r="O17" s="64" t="s">
        <v>668</v>
      </c>
      <c r="P17" s="47"/>
      <c r="Q17" s="77" t="s">
        <v>1526</v>
      </c>
      <c r="R17" s="81" t="s">
        <v>1514</v>
      </c>
      <c r="S17" s="81" t="s">
        <v>751</v>
      </c>
      <c r="T17" s="115" t="s">
        <v>114</v>
      </c>
      <c r="U17" s="140" t="s">
        <v>769</v>
      </c>
      <c r="V17" s="115" t="s">
        <v>681</v>
      </c>
      <c r="W17" s="79" t="s">
        <v>768</v>
      </c>
      <c r="X17" s="77" t="s">
        <v>734</v>
      </c>
      <c r="Y17" s="81" t="s">
        <v>672</v>
      </c>
      <c r="Z17" s="81" t="s">
        <v>683</v>
      </c>
      <c r="AA17" s="115" t="s">
        <v>734</v>
      </c>
      <c r="AB17" s="140" t="s">
        <v>734</v>
      </c>
      <c r="AC17" s="115" t="s">
        <v>813</v>
      </c>
      <c r="AD17" s="79" t="s">
        <v>737</v>
      </c>
      <c r="AE17" s="77" t="s">
        <v>203</v>
      </c>
      <c r="AF17" s="81" t="s">
        <v>685</v>
      </c>
      <c r="AG17" s="81" t="s">
        <v>734</v>
      </c>
      <c r="AH17" s="115" t="s">
        <v>83</v>
      </c>
      <c r="AI17" s="140" t="s">
        <v>690</v>
      </c>
      <c r="AJ17" s="115" t="s">
        <v>769</v>
      </c>
      <c r="AK17" s="79" t="s">
        <v>683</v>
      </c>
      <c r="AL17" s="77" t="s">
        <v>734</v>
      </c>
      <c r="AM17" s="81" t="s">
        <v>690</v>
      </c>
      <c r="AN17" s="81" t="s">
        <v>689</v>
      </c>
      <c r="AO17" s="115" t="s">
        <v>663</v>
      </c>
      <c r="AP17" s="140" t="s">
        <v>732</v>
      </c>
      <c r="AQ17" s="140" t="s">
        <v>734</v>
      </c>
      <c r="AR17" s="148" t="s">
        <v>737</v>
      </c>
      <c r="AS17" s="149" t="s">
        <v>734</v>
      </c>
      <c r="AT17" s="150" t="s">
        <v>672</v>
      </c>
      <c r="AU17" s="140" t="s">
        <v>751</v>
      </c>
      <c r="AV17" s="39"/>
      <c r="AW17" s="186">
        <f>COUNTIF(Q19:AU19,$AW$10)</f>
        <v>20</v>
      </c>
      <c r="AX17" s="186">
        <f>COUNTIF(Q19:AU19,$AX$10)</f>
        <v>4</v>
      </c>
      <c r="AY17" s="186">
        <f>COUNTIF(Q19:AU19,$AY$10)</f>
        <v>5</v>
      </c>
      <c r="AZ17" s="186">
        <f>COUNTIF(Q19:AU19,$AZ$10)</f>
        <v>0</v>
      </c>
      <c r="BA17" s="186">
        <f>COUNTIF(Q19:AU19,$BA$10)</f>
        <v>0</v>
      </c>
      <c r="BB17" s="186">
        <f>COUNTIF(Q19:AU19,$BB$10)</f>
        <v>2</v>
      </c>
      <c r="BC17" s="186">
        <f>COUNTIF(Q19:AU19,$BC$10)</f>
        <v>0</v>
      </c>
      <c r="BD17" s="186">
        <f>COUNTIF(Q19:AU19,$BD$10)</f>
        <v>0</v>
      </c>
      <c r="BE17" s="188">
        <f>SUM(Q20:AU20)</f>
        <v>68</v>
      </c>
    </row>
    <row r="18" spans="2:57" ht="15.95" customHeight="1">
      <c r="B18" s="194"/>
      <c r="C18" s="69"/>
      <c r="D18" s="180"/>
      <c r="E18" s="181"/>
      <c r="F18" s="181"/>
      <c r="G18" s="181"/>
      <c r="H18" s="181"/>
      <c r="I18" s="181"/>
      <c r="J18" s="181"/>
      <c r="K18" s="182"/>
      <c r="L18" s="180"/>
      <c r="M18" s="181"/>
      <c r="N18" s="182"/>
      <c r="O18" s="65" t="s">
        <v>669</v>
      </c>
      <c r="P18" s="44"/>
      <c r="Q18" s="76" t="s">
        <v>1506</v>
      </c>
      <c r="R18" s="80" t="s">
        <v>1514</v>
      </c>
      <c r="S18" s="80" t="s">
        <v>785</v>
      </c>
      <c r="T18" s="114"/>
      <c r="U18" s="141" t="s">
        <v>780</v>
      </c>
      <c r="V18" s="114" t="s">
        <v>747</v>
      </c>
      <c r="W18" s="72" t="s">
        <v>798</v>
      </c>
      <c r="X18" s="76" t="s">
        <v>734</v>
      </c>
      <c r="Y18" s="80" t="s">
        <v>1602</v>
      </c>
      <c r="Z18" s="80" t="s">
        <v>787</v>
      </c>
      <c r="AA18" s="114" t="s">
        <v>734</v>
      </c>
      <c r="AB18" s="141" t="s">
        <v>734</v>
      </c>
      <c r="AC18" s="114" t="s">
        <v>807</v>
      </c>
      <c r="AD18" s="72" t="s">
        <v>1519</v>
      </c>
      <c r="AE18" s="76" t="s">
        <v>779</v>
      </c>
      <c r="AF18" s="80" t="s">
        <v>862</v>
      </c>
      <c r="AG18" s="80" t="s">
        <v>734</v>
      </c>
      <c r="AH18" s="114" t="s">
        <v>1568</v>
      </c>
      <c r="AI18" s="141" t="s">
        <v>1604</v>
      </c>
      <c r="AJ18" s="114" t="s">
        <v>1560</v>
      </c>
      <c r="AK18" s="72" t="s">
        <v>758</v>
      </c>
      <c r="AL18" s="76" t="s">
        <v>734</v>
      </c>
      <c r="AM18" s="80" t="s">
        <v>846</v>
      </c>
      <c r="AN18" s="80" t="s">
        <v>1593</v>
      </c>
      <c r="AO18" s="114" t="s">
        <v>1542</v>
      </c>
      <c r="AP18" s="141" t="s">
        <v>848</v>
      </c>
      <c r="AQ18" s="141" t="s">
        <v>734</v>
      </c>
      <c r="AR18" s="151" t="s">
        <v>785</v>
      </c>
      <c r="AS18" s="152" t="s">
        <v>734</v>
      </c>
      <c r="AT18" s="153" t="s">
        <v>1575</v>
      </c>
      <c r="AU18" s="141" t="s">
        <v>154</v>
      </c>
      <c r="AV18" s="40"/>
      <c r="AW18" s="187"/>
      <c r="AX18" s="187"/>
      <c r="AY18" s="187"/>
      <c r="AZ18" s="187"/>
      <c r="BA18" s="187"/>
      <c r="BB18" s="187"/>
      <c r="BC18" s="187"/>
      <c r="BD18" s="187"/>
      <c r="BE18" s="189"/>
    </row>
    <row r="19" spans="2:57" ht="15.95" customHeight="1">
      <c r="B19" s="194"/>
      <c r="C19" s="69"/>
      <c r="D19" s="180"/>
      <c r="E19" s="181"/>
      <c r="F19" s="181"/>
      <c r="G19" s="181"/>
      <c r="H19" s="181"/>
      <c r="I19" s="181"/>
      <c r="J19" s="181"/>
      <c r="K19" s="182"/>
      <c r="L19" s="180"/>
      <c r="M19" s="181"/>
      <c r="N19" s="182"/>
      <c r="O19" s="65" t="s">
        <v>670</v>
      </c>
      <c r="P19" s="44"/>
      <c r="Q19" s="25" t="s">
        <v>29</v>
      </c>
      <c r="R19" s="21" t="s">
        <v>28</v>
      </c>
      <c r="S19" s="21" t="s">
        <v>28</v>
      </c>
      <c r="T19" s="113" t="s">
        <v>28</v>
      </c>
      <c r="U19" s="138" t="s">
        <v>29</v>
      </c>
      <c r="V19" s="137" t="s">
        <v>29</v>
      </c>
      <c r="W19" s="24" t="s">
        <v>28</v>
      </c>
      <c r="X19" s="25" t="s">
        <v>26</v>
      </c>
      <c r="Y19" s="21" t="s">
        <v>28</v>
      </c>
      <c r="Z19" s="21" t="s">
        <v>28</v>
      </c>
      <c r="AA19" s="113" t="s">
        <v>23</v>
      </c>
      <c r="AB19" s="138" t="s">
        <v>26</v>
      </c>
      <c r="AC19" s="137" t="s">
        <v>28</v>
      </c>
      <c r="AD19" s="24" t="s">
        <v>28</v>
      </c>
      <c r="AE19" s="25" t="s">
        <v>29</v>
      </c>
      <c r="AF19" s="137" t="s">
        <v>28</v>
      </c>
      <c r="AG19" s="160" t="s">
        <v>23</v>
      </c>
      <c r="AH19" s="21" t="s">
        <v>28</v>
      </c>
      <c r="AI19" s="21" t="s">
        <v>28</v>
      </c>
      <c r="AJ19" s="21" t="s">
        <v>28</v>
      </c>
      <c r="AK19" s="24" t="s">
        <v>28</v>
      </c>
      <c r="AL19" s="25" t="s">
        <v>26</v>
      </c>
      <c r="AM19" s="21" t="s">
        <v>28</v>
      </c>
      <c r="AN19" s="21" t="s">
        <v>28</v>
      </c>
      <c r="AO19" s="21" t="s">
        <v>28</v>
      </c>
      <c r="AP19" s="138" t="s">
        <v>28</v>
      </c>
      <c r="AQ19" s="138" t="s">
        <v>26</v>
      </c>
      <c r="AR19" s="24" t="s">
        <v>28</v>
      </c>
      <c r="AS19" s="154" t="s">
        <v>26</v>
      </c>
      <c r="AT19" s="113" t="s">
        <v>28</v>
      </c>
      <c r="AU19" s="113" t="s">
        <v>28</v>
      </c>
      <c r="AV19" s="40"/>
      <c r="AW19" s="187"/>
      <c r="AX19" s="187"/>
      <c r="AY19" s="187"/>
      <c r="AZ19" s="187"/>
      <c r="BA19" s="187"/>
      <c r="BB19" s="187"/>
      <c r="BC19" s="187"/>
      <c r="BD19" s="187"/>
      <c r="BE19" s="189"/>
    </row>
    <row r="20" spans="2:57" ht="15.95" customHeight="1" thickBot="1">
      <c r="B20" s="195"/>
      <c r="C20" s="70"/>
      <c r="D20" s="183"/>
      <c r="E20" s="184"/>
      <c r="F20" s="184"/>
      <c r="G20" s="184"/>
      <c r="H20" s="184"/>
      <c r="I20" s="184"/>
      <c r="J20" s="184"/>
      <c r="K20" s="185"/>
      <c r="L20" s="183"/>
      <c r="M20" s="184"/>
      <c r="N20" s="185"/>
      <c r="O20" s="66" t="s">
        <v>671</v>
      </c>
      <c r="P20" s="45"/>
      <c r="Q20" s="85">
        <v>4.5</v>
      </c>
      <c r="R20" s="21">
        <f>21-0.5-16</f>
        <v>4.5</v>
      </c>
      <c r="S20" s="62">
        <v>5.5</v>
      </c>
      <c r="T20" s="62"/>
      <c r="U20" s="139"/>
      <c r="V20" s="82"/>
      <c r="W20" s="63">
        <f>19-0.5-14</f>
        <v>4.5</v>
      </c>
      <c r="X20" s="84"/>
      <c r="Y20" s="62">
        <v>4.5</v>
      </c>
      <c r="Z20" s="62">
        <v>2.5</v>
      </c>
      <c r="AA20" s="62"/>
      <c r="AB20" s="139"/>
      <c r="AC20" s="146">
        <f>21-17-0.5</f>
        <v>3.5</v>
      </c>
      <c r="AD20" s="63"/>
      <c r="AE20" s="84"/>
      <c r="AF20" s="62"/>
      <c r="AG20" s="62"/>
      <c r="AH20" s="62">
        <f>23-0.5-16</f>
        <v>6.5</v>
      </c>
      <c r="AI20" s="62">
        <f>23-0.5-16</f>
        <v>6.5</v>
      </c>
      <c r="AJ20" s="82"/>
      <c r="AK20" s="63">
        <f>18-13</f>
        <v>5</v>
      </c>
      <c r="AL20" s="84"/>
      <c r="AM20" s="62">
        <v>2</v>
      </c>
      <c r="AN20" s="62">
        <v>3</v>
      </c>
      <c r="AO20" s="62">
        <v>2.5</v>
      </c>
      <c r="AP20" s="62">
        <v>2.5</v>
      </c>
      <c r="AQ20" s="139"/>
      <c r="AR20" s="63">
        <f>22-0.5-13</f>
        <v>8.5</v>
      </c>
      <c r="AS20" s="155"/>
      <c r="AT20" s="139">
        <v>2</v>
      </c>
      <c r="AU20" s="62"/>
      <c r="AV20" s="46"/>
      <c r="AW20" s="187"/>
      <c r="AX20" s="187"/>
      <c r="AY20" s="187"/>
      <c r="AZ20" s="187"/>
      <c r="BA20" s="187"/>
      <c r="BB20" s="187"/>
      <c r="BC20" s="187"/>
      <c r="BD20" s="187"/>
      <c r="BE20" s="189"/>
    </row>
    <row r="21" spans="2:57" ht="15.95" customHeight="1">
      <c r="B21" s="193">
        <f>B17+1</f>
        <v>3</v>
      </c>
      <c r="C21" s="68">
        <v>16</v>
      </c>
      <c r="D21" s="177" t="s">
        <v>726</v>
      </c>
      <c r="E21" s="178"/>
      <c r="F21" s="178"/>
      <c r="G21" s="178"/>
      <c r="H21" s="178"/>
      <c r="I21" s="178"/>
      <c r="J21" s="178"/>
      <c r="K21" s="179"/>
      <c r="L21" s="177" t="s">
        <v>21</v>
      </c>
      <c r="M21" s="178"/>
      <c r="N21" s="179"/>
      <c r="O21" s="64" t="s">
        <v>668</v>
      </c>
      <c r="P21" s="47"/>
      <c r="Q21" s="77">
        <v>0.33333333333333331</v>
      </c>
      <c r="R21" s="81">
        <v>0.3125</v>
      </c>
      <c r="S21" s="81">
        <v>0.3125</v>
      </c>
      <c r="T21" s="115">
        <v>0.3125</v>
      </c>
      <c r="U21" s="140"/>
      <c r="V21" s="115">
        <v>0.31597222222222221</v>
      </c>
      <c r="W21" s="79">
        <v>0.31597222222222221</v>
      </c>
      <c r="X21" s="77"/>
      <c r="Y21" s="81">
        <v>0.31597222222222221</v>
      </c>
      <c r="Z21" s="81">
        <v>0.31597222222222221</v>
      </c>
      <c r="AA21" s="115">
        <v>0.31597222222222221</v>
      </c>
      <c r="AB21" s="140"/>
      <c r="AC21" s="115">
        <v>0.31597222222222221</v>
      </c>
      <c r="AD21" s="79">
        <v>0.31597222222222221</v>
      </c>
      <c r="AE21" s="77"/>
      <c r="AF21" s="81"/>
      <c r="AG21" s="81"/>
      <c r="AH21" s="115">
        <v>0.31597222222222221</v>
      </c>
      <c r="AI21" s="140">
        <v>0.31597222222222221</v>
      </c>
      <c r="AJ21" s="115">
        <v>0.31597222222222221</v>
      </c>
      <c r="AK21" s="79">
        <v>0.31597222222222221</v>
      </c>
      <c r="AL21" s="77"/>
      <c r="AM21" s="81">
        <v>0.31597222222222221</v>
      </c>
      <c r="AN21" s="81">
        <v>0.3125</v>
      </c>
      <c r="AO21" s="115">
        <v>0.31597222222222221</v>
      </c>
      <c r="AP21" s="140">
        <v>0.31597222222222221</v>
      </c>
      <c r="AQ21" s="140"/>
      <c r="AR21" s="148">
        <v>0.31597222222222221</v>
      </c>
      <c r="AS21" s="149"/>
      <c r="AT21" s="150">
        <v>0.31597222222222221</v>
      </c>
      <c r="AU21" s="140">
        <v>0.31597222222222221</v>
      </c>
      <c r="AV21" s="39"/>
      <c r="AW21" s="186">
        <f>COUNTIF(Q23:AU23,$AW$10)</f>
        <v>20</v>
      </c>
      <c r="AX21" s="186">
        <f>COUNTIF(Q23:AU23,$AX$10)</f>
        <v>2</v>
      </c>
      <c r="AY21" s="186">
        <f>COUNTIF(Q23:AU23,$AY$10)</f>
        <v>6</v>
      </c>
      <c r="AZ21" s="186">
        <f>COUNTIF(Q23:AU23,$AZ$10)</f>
        <v>1</v>
      </c>
      <c r="BA21" s="186">
        <f>COUNTIF(Q23:AU23,$BA$10)</f>
        <v>0</v>
      </c>
      <c r="BB21" s="186">
        <f>COUNTIF(Q23:AU23,$BB$10)</f>
        <v>2</v>
      </c>
      <c r="BC21" s="186">
        <f>COUNTIF(Q23:AU23,$BC$10)</f>
        <v>0</v>
      </c>
      <c r="BD21" s="186">
        <f>COUNTIF(Q23:AU23,$BD$10)</f>
        <v>0</v>
      </c>
      <c r="BE21" s="188">
        <f>SUM(Q24:AU24)</f>
        <v>63</v>
      </c>
    </row>
    <row r="22" spans="2:57" ht="15.95" customHeight="1">
      <c r="B22" s="194"/>
      <c r="C22" s="69"/>
      <c r="D22" s="180"/>
      <c r="E22" s="181"/>
      <c r="F22" s="181"/>
      <c r="G22" s="181"/>
      <c r="H22" s="181"/>
      <c r="I22" s="181"/>
      <c r="J22" s="181"/>
      <c r="K22" s="182"/>
      <c r="L22" s="180"/>
      <c r="M22" s="181"/>
      <c r="N22" s="182"/>
      <c r="O22" s="65" t="s">
        <v>669</v>
      </c>
      <c r="P22" s="44"/>
      <c r="Q22" s="76">
        <v>0.88888888888888884</v>
      </c>
      <c r="R22" s="80">
        <v>0.88888888888888884</v>
      </c>
      <c r="S22" s="80">
        <v>0.91666666666666663</v>
      </c>
      <c r="T22" s="114">
        <v>0.875</v>
      </c>
      <c r="U22" s="141"/>
      <c r="V22" s="114">
        <v>0.91666666666666663</v>
      </c>
      <c r="W22" s="72">
        <v>0.91666666666666663</v>
      </c>
      <c r="X22" s="76"/>
      <c r="Y22" s="80">
        <v>0.79166666666666663</v>
      </c>
      <c r="Z22" s="80">
        <v>0.79166666666666663</v>
      </c>
      <c r="AA22" s="114">
        <v>0.76736111111111116</v>
      </c>
      <c r="AB22" s="141"/>
      <c r="AC22" s="114">
        <v>0.77430555555555547</v>
      </c>
      <c r="AD22" s="72">
        <v>0.77430555555555547</v>
      </c>
      <c r="AE22" s="76" t="s">
        <v>26</v>
      </c>
      <c r="AF22" s="80"/>
      <c r="AG22" s="80"/>
      <c r="AH22" s="114">
        <v>0.77430555555555547</v>
      </c>
      <c r="AI22" s="141">
        <v>0.85069444444444453</v>
      </c>
      <c r="AJ22" s="114">
        <v>0.77430555555555547</v>
      </c>
      <c r="AK22" s="72">
        <v>0.77430555555555547</v>
      </c>
      <c r="AL22" s="76"/>
      <c r="AM22" s="80">
        <v>0.80208333333333337</v>
      </c>
      <c r="AN22" s="80">
        <v>0.77430555555555547</v>
      </c>
      <c r="AO22" s="114">
        <v>0.80069444444444438</v>
      </c>
      <c r="AP22" s="141">
        <v>0.79166666666666663</v>
      </c>
      <c r="AQ22" s="141"/>
      <c r="AR22" s="151">
        <v>0.76736111111111116</v>
      </c>
      <c r="AS22" s="152"/>
      <c r="AT22" s="153">
        <v>0.79166666666666663</v>
      </c>
      <c r="AU22" s="141">
        <v>0.81597222222222221</v>
      </c>
      <c r="AV22" s="40"/>
      <c r="AW22" s="187"/>
      <c r="AX22" s="187"/>
      <c r="AY22" s="187"/>
      <c r="AZ22" s="187"/>
      <c r="BA22" s="187"/>
      <c r="BB22" s="187"/>
      <c r="BC22" s="187"/>
      <c r="BD22" s="187"/>
      <c r="BE22" s="189"/>
    </row>
    <row r="23" spans="2:57" ht="15.95" customHeight="1">
      <c r="B23" s="194"/>
      <c r="C23" s="69"/>
      <c r="D23" s="180"/>
      <c r="E23" s="181"/>
      <c r="F23" s="181"/>
      <c r="G23" s="181"/>
      <c r="H23" s="181"/>
      <c r="I23" s="181"/>
      <c r="J23" s="181"/>
      <c r="K23" s="182"/>
      <c r="L23" s="180"/>
      <c r="M23" s="181"/>
      <c r="N23" s="182"/>
      <c r="O23" s="65" t="s">
        <v>670</v>
      </c>
      <c r="P23" s="44"/>
      <c r="Q23" s="25" t="s">
        <v>29</v>
      </c>
      <c r="R23" s="22" t="s">
        <v>28</v>
      </c>
      <c r="S23" s="22" t="s">
        <v>28</v>
      </c>
      <c r="T23" s="113" t="s">
        <v>28</v>
      </c>
      <c r="U23" s="138" t="s">
        <v>30</v>
      </c>
      <c r="V23" s="23" t="s">
        <v>29</v>
      </c>
      <c r="W23" s="24" t="s">
        <v>28</v>
      </c>
      <c r="X23" s="25" t="s">
        <v>26</v>
      </c>
      <c r="Y23" s="22" t="s">
        <v>28</v>
      </c>
      <c r="Z23" s="22" t="s">
        <v>28</v>
      </c>
      <c r="AA23" s="113" t="s">
        <v>28</v>
      </c>
      <c r="AB23" s="138" t="s">
        <v>26</v>
      </c>
      <c r="AC23" s="23" t="s">
        <v>28</v>
      </c>
      <c r="AD23" s="24" t="s">
        <v>28</v>
      </c>
      <c r="AE23" s="25" t="s">
        <v>26</v>
      </c>
      <c r="AF23" s="160" t="s">
        <v>23</v>
      </c>
      <c r="AG23" s="160" t="s">
        <v>23</v>
      </c>
      <c r="AH23" s="113" t="s">
        <v>28</v>
      </c>
      <c r="AI23" s="138" t="s">
        <v>28</v>
      </c>
      <c r="AJ23" s="23" t="s">
        <v>28</v>
      </c>
      <c r="AK23" s="24" t="s">
        <v>28</v>
      </c>
      <c r="AL23" s="25" t="s">
        <v>26</v>
      </c>
      <c r="AM23" s="22" t="s">
        <v>28</v>
      </c>
      <c r="AN23" s="22" t="s">
        <v>28</v>
      </c>
      <c r="AO23" s="113" t="s">
        <v>28</v>
      </c>
      <c r="AP23" s="138" t="s">
        <v>28</v>
      </c>
      <c r="AQ23" s="147" t="s">
        <v>26</v>
      </c>
      <c r="AR23" s="24" t="s">
        <v>28</v>
      </c>
      <c r="AS23" s="154" t="s">
        <v>26</v>
      </c>
      <c r="AT23" s="113" t="s">
        <v>28</v>
      </c>
      <c r="AU23" s="113" t="s">
        <v>28</v>
      </c>
      <c r="AV23" s="40"/>
      <c r="AW23" s="187"/>
      <c r="AX23" s="187"/>
      <c r="AY23" s="187"/>
      <c r="AZ23" s="187"/>
      <c r="BA23" s="187"/>
      <c r="BB23" s="187"/>
      <c r="BC23" s="187"/>
      <c r="BD23" s="187"/>
      <c r="BE23" s="189"/>
    </row>
    <row r="24" spans="2:57" ht="15.95" customHeight="1" thickBot="1">
      <c r="B24" s="195"/>
      <c r="C24" s="70"/>
      <c r="D24" s="183"/>
      <c r="E24" s="184"/>
      <c r="F24" s="184"/>
      <c r="G24" s="184"/>
      <c r="H24" s="184"/>
      <c r="I24" s="184"/>
      <c r="J24" s="184"/>
      <c r="K24" s="185"/>
      <c r="L24" s="183"/>
      <c r="M24" s="184"/>
      <c r="N24" s="185"/>
      <c r="O24" s="66" t="s">
        <v>671</v>
      </c>
      <c r="P24" s="45"/>
      <c r="Q24" s="85">
        <v>5</v>
      </c>
      <c r="R24" s="62">
        <v>5</v>
      </c>
      <c r="S24" s="62">
        <v>5.5</v>
      </c>
      <c r="T24" s="62">
        <v>4.5</v>
      </c>
      <c r="U24" s="139"/>
      <c r="V24" s="62">
        <f>22-0.5-17</f>
        <v>4.5</v>
      </c>
      <c r="W24" s="63">
        <f>19.5-0.5-14</f>
        <v>5</v>
      </c>
      <c r="X24" s="84"/>
      <c r="Y24" s="62">
        <f>19-0.5-16</f>
        <v>2.5</v>
      </c>
      <c r="Z24" s="62">
        <v>3</v>
      </c>
      <c r="AA24" s="62"/>
      <c r="AB24" s="139"/>
      <c r="AC24" s="82"/>
      <c r="AD24" s="63"/>
      <c r="AE24" s="84"/>
      <c r="AF24" s="62"/>
      <c r="AG24" s="62"/>
      <c r="AH24" s="62">
        <v>2</v>
      </c>
      <c r="AI24" s="139"/>
      <c r="AJ24" s="82"/>
      <c r="AK24" s="63">
        <f>18-13</f>
        <v>5</v>
      </c>
      <c r="AL24" s="84"/>
      <c r="AM24" s="62">
        <f>19.5-0.5-16</f>
        <v>3</v>
      </c>
      <c r="AN24" s="62">
        <v>2</v>
      </c>
      <c r="AO24" s="62">
        <v>2.5</v>
      </c>
      <c r="AP24" s="62">
        <v>2.5</v>
      </c>
      <c r="AQ24" s="139"/>
      <c r="AR24" s="63">
        <f>18-13</f>
        <v>5</v>
      </c>
      <c r="AS24" s="155"/>
      <c r="AT24" s="139">
        <f>19-16</f>
        <v>3</v>
      </c>
      <c r="AU24" s="62">
        <f>19.5-0.5-16</f>
        <v>3</v>
      </c>
      <c r="AV24" s="46"/>
      <c r="AW24" s="187"/>
      <c r="AX24" s="187"/>
      <c r="AY24" s="187"/>
      <c r="AZ24" s="187"/>
      <c r="BA24" s="187"/>
      <c r="BB24" s="187"/>
      <c r="BC24" s="187"/>
      <c r="BD24" s="187"/>
      <c r="BE24" s="189"/>
    </row>
    <row r="25" spans="2:57" ht="15.95" customHeight="1">
      <c r="B25" s="193">
        <f>B21+1</f>
        <v>4</v>
      </c>
      <c r="C25" s="68">
        <v>16</v>
      </c>
      <c r="D25" s="177" t="s">
        <v>727</v>
      </c>
      <c r="E25" s="178"/>
      <c r="F25" s="178"/>
      <c r="G25" s="178"/>
      <c r="H25" s="178"/>
      <c r="I25" s="178"/>
      <c r="J25" s="178"/>
      <c r="K25" s="179"/>
      <c r="L25" s="177" t="s">
        <v>11</v>
      </c>
      <c r="M25" s="178"/>
      <c r="N25" s="179"/>
      <c r="O25" s="64" t="s">
        <v>668</v>
      </c>
      <c r="P25" s="47"/>
      <c r="Q25" s="77" t="s">
        <v>751</v>
      </c>
      <c r="R25" s="81" t="s">
        <v>850</v>
      </c>
      <c r="S25" s="81" t="s">
        <v>479</v>
      </c>
      <c r="T25" s="115" t="s">
        <v>479</v>
      </c>
      <c r="U25" s="140" t="s">
        <v>353</v>
      </c>
      <c r="V25" s="115" t="s">
        <v>221</v>
      </c>
      <c r="W25" s="79" t="s">
        <v>738</v>
      </c>
      <c r="X25" s="77" t="s">
        <v>141</v>
      </c>
      <c r="Y25" s="81" t="s">
        <v>83</v>
      </c>
      <c r="Z25" s="81" t="s">
        <v>221</v>
      </c>
      <c r="AA25" s="115" t="s">
        <v>479</v>
      </c>
      <c r="AB25" s="140" t="s">
        <v>734</v>
      </c>
      <c r="AC25" s="115" t="s">
        <v>479</v>
      </c>
      <c r="AD25" s="79" t="s">
        <v>479</v>
      </c>
      <c r="AE25" s="77" t="s">
        <v>733</v>
      </c>
      <c r="AF25" s="81" t="s">
        <v>479</v>
      </c>
      <c r="AG25" s="81" t="s">
        <v>203</v>
      </c>
      <c r="AH25" s="115" t="s">
        <v>203</v>
      </c>
      <c r="AI25" s="140" t="s">
        <v>83</v>
      </c>
      <c r="AJ25" s="115" t="s">
        <v>141</v>
      </c>
      <c r="AK25" s="79" t="s">
        <v>353</v>
      </c>
      <c r="AL25" s="77" t="s">
        <v>734</v>
      </c>
      <c r="AM25" s="81" t="s">
        <v>735</v>
      </c>
      <c r="AN25" s="81" t="s">
        <v>488</v>
      </c>
      <c r="AO25" s="115" t="s">
        <v>736</v>
      </c>
      <c r="AP25" s="140" t="s">
        <v>488</v>
      </c>
      <c r="AQ25" s="140" t="s">
        <v>734</v>
      </c>
      <c r="AR25" s="148" t="s">
        <v>736</v>
      </c>
      <c r="AS25" s="149" t="s">
        <v>734</v>
      </c>
      <c r="AT25" s="150" t="s">
        <v>479</v>
      </c>
      <c r="AU25" s="140" t="s">
        <v>735</v>
      </c>
      <c r="AV25" s="39"/>
      <c r="AW25" s="186">
        <f>COUNTIF(Q27:AU27,$AW$10)</f>
        <v>22</v>
      </c>
      <c r="AX25" s="186">
        <f>COUNTIF(Q27:AU27,$AX$10)</f>
        <v>4</v>
      </c>
      <c r="AY25" s="186">
        <f>COUNTIF(Q27:AU27,$AY$10)</f>
        <v>5</v>
      </c>
      <c r="AZ25" s="186">
        <f>COUNTIF(Q27:AU27,$AZ$10)</f>
        <v>0</v>
      </c>
      <c r="BA25" s="186">
        <f>COUNTIF(Q27:AU27,$BA$10)</f>
        <v>0</v>
      </c>
      <c r="BB25" s="186">
        <f>COUNTIF(Q27:AU27,$BB$10)</f>
        <v>0</v>
      </c>
      <c r="BC25" s="186">
        <f>COUNTIF(Q27:AU27,$BC$10)</f>
        <v>0</v>
      </c>
      <c r="BD25" s="186">
        <f>COUNTIF(Q27:AU27,$BD$10)</f>
        <v>0</v>
      </c>
      <c r="BE25" s="188">
        <f>SUM(Q28:AU28)</f>
        <v>75.5</v>
      </c>
    </row>
    <row r="26" spans="2:57" ht="15.95" customHeight="1">
      <c r="B26" s="194"/>
      <c r="C26" s="69"/>
      <c r="D26" s="180"/>
      <c r="E26" s="181"/>
      <c r="F26" s="181"/>
      <c r="G26" s="181"/>
      <c r="H26" s="181"/>
      <c r="I26" s="181"/>
      <c r="J26" s="181"/>
      <c r="K26" s="182"/>
      <c r="L26" s="180"/>
      <c r="M26" s="181"/>
      <c r="N26" s="182"/>
      <c r="O26" s="65" t="s">
        <v>669</v>
      </c>
      <c r="P26" s="44"/>
      <c r="Q26" s="76" t="s">
        <v>1506</v>
      </c>
      <c r="R26" s="80" t="s">
        <v>861</v>
      </c>
      <c r="S26" s="80" t="s">
        <v>1515</v>
      </c>
      <c r="T26" s="114" t="s">
        <v>1563</v>
      </c>
      <c r="U26" s="141">
        <v>0.7104166666666667</v>
      </c>
      <c r="V26" s="114" t="s">
        <v>1605</v>
      </c>
      <c r="W26" s="72" t="s">
        <v>1564</v>
      </c>
      <c r="X26" s="76" t="s">
        <v>781</v>
      </c>
      <c r="Y26" s="80" t="s">
        <v>1565</v>
      </c>
      <c r="Z26" s="80" t="s">
        <v>1606</v>
      </c>
      <c r="AA26" s="114" t="s">
        <v>154</v>
      </c>
      <c r="AB26" s="141" t="s">
        <v>734</v>
      </c>
      <c r="AC26" s="114" t="s">
        <v>387</v>
      </c>
      <c r="AD26" s="72" t="s">
        <v>1591</v>
      </c>
      <c r="AE26" s="76"/>
      <c r="AF26" s="80" t="s">
        <v>688</v>
      </c>
      <c r="AG26" s="80" t="s">
        <v>1564</v>
      </c>
      <c r="AH26" s="114" t="s">
        <v>1471</v>
      </c>
      <c r="AI26" s="141" t="s">
        <v>801</v>
      </c>
      <c r="AJ26" s="114" t="s">
        <v>1607</v>
      </c>
      <c r="AK26" s="72" t="s">
        <v>1515</v>
      </c>
      <c r="AL26" s="76" t="s">
        <v>734</v>
      </c>
      <c r="AM26" s="80" t="s">
        <v>1608</v>
      </c>
      <c r="AN26" s="80" t="s">
        <v>1594</v>
      </c>
      <c r="AO26" s="114" t="s">
        <v>845</v>
      </c>
      <c r="AP26" s="141" t="s">
        <v>739</v>
      </c>
      <c r="AQ26" s="141" t="s">
        <v>734</v>
      </c>
      <c r="AR26" s="151" t="s">
        <v>776</v>
      </c>
      <c r="AS26" s="152" t="s">
        <v>734</v>
      </c>
      <c r="AT26" s="153" t="s">
        <v>1609</v>
      </c>
      <c r="AU26" s="141" t="s">
        <v>820</v>
      </c>
      <c r="AV26" s="40"/>
      <c r="AW26" s="187"/>
      <c r="AX26" s="187"/>
      <c r="AY26" s="187"/>
      <c r="AZ26" s="187"/>
      <c r="BA26" s="187"/>
      <c r="BB26" s="187"/>
      <c r="BC26" s="187"/>
      <c r="BD26" s="187"/>
      <c r="BE26" s="189"/>
    </row>
    <row r="27" spans="2:57" ht="15.95" customHeight="1">
      <c r="B27" s="194"/>
      <c r="C27" s="69"/>
      <c r="D27" s="180"/>
      <c r="E27" s="181"/>
      <c r="F27" s="181"/>
      <c r="G27" s="181"/>
      <c r="H27" s="181"/>
      <c r="I27" s="181"/>
      <c r="J27" s="181"/>
      <c r="K27" s="182"/>
      <c r="L27" s="180"/>
      <c r="M27" s="181"/>
      <c r="N27" s="182"/>
      <c r="O27" s="65" t="s">
        <v>670</v>
      </c>
      <c r="P27" s="44"/>
      <c r="Q27" s="25" t="s">
        <v>29</v>
      </c>
      <c r="R27" s="22" t="s">
        <v>28</v>
      </c>
      <c r="S27" s="22" t="s">
        <v>28</v>
      </c>
      <c r="T27" s="113" t="s">
        <v>28</v>
      </c>
      <c r="U27" s="138" t="s">
        <v>29</v>
      </c>
      <c r="V27" s="22" t="s">
        <v>29</v>
      </c>
      <c r="W27" s="24" t="s">
        <v>28</v>
      </c>
      <c r="X27" s="25" t="s">
        <v>29</v>
      </c>
      <c r="Y27" s="22" t="s">
        <v>28</v>
      </c>
      <c r="Z27" s="22" t="s">
        <v>28</v>
      </c>
      <c r="AA27" s="113" t="s">
        <v>28</v>
      </c>
      <c r="AB27" s="138" t="s">
        <v>26</v>
      </c>
      <c r="AC27" s="22" t="s">
        <v>28</v>
      </c>
      <c r="AD27" s="24" t="s">
        <v>28</v>
      </c>
      <c r="AE27" s="25" t="s">
        <v>26</v>
      </c>
      <c r="AF27" s="22" t="s">
        <v>28</v>
      </c>
      <c r="AG27" s="22" t="s">
        <v>28</v>
      </c>
      <c r="AH27" s="22" t="s">
        <v>28</v>
      </c>
      <c r="AI27" s="22" t="s">
        <v>28</v>
      </c>
      <c r="AJ27" s="22" t="s">
        <v>28</v>
      </c>
      <c r="AK27" s="24" t="s">
        <v>28</v>
      </c>
      <c r="AL27" s="25" t="s">
        <v>26</v>
      </c>
      <c r="AM27" s="22" t="s">
        <v>28</v>
      </c>
      <c r="AN27" s="22" t="s">
        <v>28</v>
      </c>
      <c r="AO27" s="22" t="s">
        <v>28</v>
      </c>
      <c r="AP27" s="22" t="s">
        <v>28</v>
      </c>
      <c r="AQ27" s="113" t="s">
        <v>26</v>
      </c>
      <c r="AR27" s="24" t="s">
        <v>28</v>
      </c>
      <c r="AS27" s="154" t="s">
        <v>26</v>
      </c>
      <c r="AT27" s="113" t="s">
        <v>28</v>
      </c>
      <c r="AU27" s="113" t="s">
        <v>28</v>
      </c>
      <c r="AV27" s="40"/>
      <c r="AW27" s="187"/>
      <c r="AX27" s="187"/>
      <c r="AY27" s="187"/>
      <c r="AZ27" s="187"/>
      <c r="BA27" s="187"/>
      <c r="BB27" s="187"/>
      <c r="BC27" s="187"/>
      <c r="BD27" s="187"/>
      <c r="BE27" s="189"/>
    </row>
    <row r="28" spans="2:57" ht="15.95" customHeight="1" thickBot="1">
      <c r="B28" s="195"/>
      <c r="C28" s="70"/>
      <c r="D28" s="183"/>
      <c r="E28" s="184"/>
      <c r="F28" s="184"/>
      <c r="G28" s="184"/>
      <c r="H28" s="184"/>
      <c r="I28" s="184"/>
      <c r="J28" s="184"/>
      <c r="K28" s="185"/>
      <c r="L28" s="183"/>
      <c r="M28" s="184"/>
      <c r="N28" s="185"/>
      <c r="O28" s="66" t="s">
        <v>671</v>
      </c>
      <c r="P28" s="45"/>
      <c r="Q28" s="85">
        <v>4.5</v>
      </c>
      <c r="R28" s="21">
        <v>5</v>
      </c>
      <c r="S28" s="62">
        <v>5.5</v>
      </c>
      <c r="T28" s="62">
        <v>4.5</v>
      </c>
      <c r="U28" s="62">
        <v>1</v>
      </c>
      <c r="V28" s="62">
        <f>22-0.5-17</f>
        <v>4.5</v>
      </c>
      <c r="W28" s="63">
        <f>19.5-0.5-14</f>
        <v>5</v>
      </c>
      <c r="X28" s="85"/>
      <c r="Y28" s="62">
        <v>4.5</v>
      </c>
      <c r="Z28" s="62">
        <f>21-0.5-16</f>
        <v>4.5</v>
      </c>
      <c r="AA28" s="62"/>
      <c r="AB28" s="62"/>
      <c r="AC28" s="82"/>
      <c r="AD28" s="63"/>
      <c r="AE28" s="85"/>
      <c r="AF28" s="82"/>
      <c r="AG28" s="62"/>
      <c r="AH28" s="62">
        <v>2</v>
      </c>
      <c r="AI28" s="62">
        <f>21-0.5-16</f>
        <v>4.5</v>
      </c>
      <c r="AJ28" s="82"/>
      <c r="AK28" s="63">
        <f>22-0.5-13</f>
        <v>8.5</v>
      </c>
      <c r="AL28" s="85"/>
      <c r="AM28" s="146">
        <f>20-0.5-16</f>
        <v>3.5</v>
      </c>
      <c r="AN28" s="62">
        <v>3</v>
      </c>
      <c r="AO28" s="62">
        <v>2.5</v>
      </c>
      <c r="AP28" s="62">
        <v>2</v>
      </c>
      <c r="AQ28" s="139"/>
      <c r="AR28" s="63">
        <f>17.5-0.5-13</f>
        <v>4</v>
      </c>
      <c r="AS28" s="156"/>
      <c r="AT28" s="139">
        <v>3</v>
      </c>
      <c r="AU28" s="62">
        <f>20-0.5-16</f>
        <v>3.5</v>
      </c>
      <c r="AV28" s="46"/>
      <c r="AW28" s="187"/>
      <c r="AX28" s="187"/>
      <c r="AY28" s="187"/>
      <c r="AZ28" s="187"/>
      <c r="BA28" s="187"/>
      <c r="BB28" s="187"/>
      <c r="BC28" s="187"/>
      <c r="BD28" s="187"/>
      <c r="BE28" s="189"/>
    </row>
    <row r="29" spans="2:57" ht="15.95" customHeight="1">
      <c r="B29" s="193">
        <f t="shared" ref="B29" si="0">B25+1</f>
        <v>5</v>
      </c>
      <c r="C29" s="68">
        <v>16</v>
      </c>
      <c r="D29" s="177" t="s">
        <v>866</v>
      </c>
      <c r="E29" s="178"/>
      <c r="F29" s="178"/>
      <c r="G29" s="178"/>
      <c r="H29" s="178"/>
      <c r="I29" s="178"/>
      <c r="J29" s="178"/>
      <c r="K29" s="179"/>
      <c r="L29" s="177" t="s">
        <v>730</v>
      </c>
      <c r="M29" s="178"/>
      <c r="N29" s="179"/>
      <c r="O29" s="64" t="s">
        <v>668</v>
      </c>
      <c r="P29" s="47"/>
      <c r="Q29" s="77">
        <v>0.33333333333333331</v>
      </c>
      <c r="R29" s="81">
        <v>0.33333333333333331</v>
      </c>
      <c r="S29" s="81">
        <v>0.33333333333333331</v>
      </c>
      <c r="T29" s="115">
        <v>0.33333333333333331</v>
      </c>
      <c r="U29" s="140">
        <v>0.33333333333333331</v>
      </c>
      <c r="V29" s="115">
        <v>0.33333333333333331</v>
      </c>
      <c r="W29" s="79">
        <v>0.33333333333333331</v>
      </c>
      <c r="X29" s="77"/>
      <c r="Y29" s="81">
        <v>0.33333333333333331</v>
      </c>
      <c r="Z29" s="81">
        <v>0.33333333333333331</v>
      </c>
      <c r="AA29" s="115" t="s">
        <v>554</v>
      </c>
      <c r="AB29" s="140" t="s">
        <v>734</v>
      </c>
      <c r="AC29" s="115" t="s">
        <v>857</v>
      </c>
      <c r="AD29" s="79" t="s">
        <v>690</v>
      </c>
      <c r="AE29" s="77" t="s">
        <v>734</v>
      </c>
      <c r="AF29" s="81" t="s">
        <v>868</v>
      </c>
      <c r="AG29" s="81" t="s">
        <v>833</v>
      </c>
      <c r="AH29" s="115" t="s">
        <v>734</v>
      </c>
      <c r="AI29" s="140" t="s">
        <v>789</v>
      </c>
      <c r="AJ29" s="115" t="s">
        <v>81</v>
      </c>
      <c r="AK29" s="79" t="s">
        <v>1468</v>
      </c>
      <c r="AL29" s="77" t="s">
        <v>734</v>
      </c>
      <c r="AM29" s="81" t="s">
        <v>813</v>
      </c>
      <c r="AN29" s="81" t="s">
        <v>1570</v>
      </c>
      <c r="AO29" s="115" t="s">
        <v>683</v>
      </c>
      <c r="AP29" s="140" t="s">
        <v>822</v>
      </c>
      <c r="AQ29" s="140" t="s">
        <v>734</v>
      </c>
      <c r="AR29" s="148" t="s">
        <v>823</v>
      </c>
      <c r="AS29" s="149" t="s">
        <v>734</v>
      </c>
      <c r="AT29" s="150" t="s">
        <v>823</v>
      </c>
      <c r="AU29" s="140" t="s">
        <v>811</v>
      </c>
      <c r="AV29" s="39"/>
      <c r="AW29" s="186">
        <f>COUNTIF(Q31:AU31,$AW$10)</f>
        <v>21</v>
      </c>
      <c r="AX29" s="186">
        <f>COUNTIF(Q31:AU31,$AX$10)</f>
        <v>3</v>
      </c>
      <c r="AY29" s="186">
        <f>COUNTIF(Q31:AU31,$AY$10)</f>
        <v>6</v>
      </c>
      <c r="AZ29" s="186">
        <f>COUNTIF(Q31:AU31,$AZ$10)</f>
        <v>0</v>
      </c>
      <c r="BA29" s="186">
        <f>COUNTIF(Q31:AU31,$BA$10)</f>
        <v>0</v>
      </c>
      <c r="BB29" s="186">
        <f>COUNTIF(Q31:AU31,$BB$10)</f>
        <v>1</v>
      </c>
      <c r="BC29" s="186">
        <f>COUNTIF(Q31:AU31,$BC$10)</f>
        <v>0</v>
      </c>
      <c r="BD29" s="186">
        <f>COUNTIF(Q31:AU31,$BD$10)</f>
        <v>0</v>
      </c>
      <c r="BE29" s="188">
        <f>SUM(Q32:AU32)</f>
        <v>60</v>
      </c>
    </row>
    <row r="30" spans="2:57" ht="15.95" customHeight="1">
      <c r="B30" s="194"/>
      <c r="C30" s="69"/>
      <c r="D30" s="180"/>
      <c r="E30" s="181"/>
      <c r="F30" s="181"/>
      <c r="G30" s="181"/>
      <c r="H30" s="181"/>
      <c r="I30" s="181"/>
      <c r="J30" s="181"/>
      <c r="K30" s="182"/>
      <c r="L30" s="180"/>
      <c r="M30" s="181"/>
      <c r="N30" s="182"/>
      <c r="O30" s="65" t="s">
        <v>669</v>
      </c>
      <c r="P30" s="44"/>
      <c r="Q30" s="76">
        <v>0.88402777777777775</v>
      </c>
      <c r="R30" s="80">
        <v>0.88402777777777775</v>
      </c>
      <c r="S30" s="80">
        <v>0.91666666666666663</v>
      </c>
      <c r="T30" s="114">
        <v>0.875</v>
      </c>
      <c r="U30" s="141">
        <v>0.66666666666666663</v>
      </c>
      <c r="V30" s="114">
        <v>0.66666666666666663</v>
      </c>
      <c r="W30" s="72">
        <v>0.8125</v>
      </c>
      <c r="X30" s="76"/>
      <c r="Y30" s="80">
        <v>0.87013888888888891</v>
      </c>
      <c r="Z30" s="80">
        <v>0.86944444444444446</v>
      </c>
      <c r="AA30" s="114"/>
      <c r="AB30" s="141" t="s">
        <v>734</v>
      </c>
      <c r="AC30" s="114"/>
      <c r="AD30" s="72" t="s">
        <v>1591</v>
      </c>
      <c r="AE30" s="76" t="s">
        <v>734</v>
      </c>
      <c r="AF30" s="80" t="s">
        <v>853</v>
      </c>
      <c r="AG30" s="80" t="s">
        <v>1564</v>
      </c>
      <c r="AH30" s="114" t="s">
        <v>734</v>
      </c>
      <c r="AI30" s="141" t="s">
        <v>195</v>
      </c>
      <c r="AJ30" s="114" t="s">
        <v>1560</v>
      </c>
      <c r="AK30" s="72" t="s">
        <v>1610</v>
      </c>
      <c r="AL30" s="76" t="s">
        <v>734</v>
      </c>
      <c r="AM30" s="80" t="s">
        <v>846</v>
      </c>
      <c r="AN30" s="80" t="s">
        <v>1570</v>
      </c>
      <c r="AO30" s="114" t="s">
        <v>1542</v>
      </c>
      <c r="AP30" s="141" t="s">
        <v>1524</v>
      </c>
      <c r="AQ30" s="141" t="s">
        <v>734</v>
      </c>
      <c r="AR30" s="151" t="s">
        <v>1515</v>
      </c>
      <c r="AS30" s="152" t="s">
        <v>734</v>
      </c>
      <c r="AT30" s="153" t="s">
        <v>1571</v>
      </c>
      <c r="AU30" s="141" t="s">
        <v>1611</v>
      </c>
      <c r="AV30" s="40"/>
      <c r="AW30" s="187"/>
      <c r="AX30" s="187"/>
      <c r="AY30" s="187"/>
      <c r="AZ30" s="187"/>
      <c r="BA30" s="187"/>
      <c r="BB30" s="187"/>
      <c r="BC30" s="187"/>
      <c r="BD30" s="187"/>
      <c r="BE30" s="189"/>
    </row>
    <row r="31" spans="2:57" ht="15.95" customHeight="1">
      <c r="B31" s="194"/>
      <c r="C31" s="69"/>
      <c r="D31" s="180"/>
      <c r="E31" s="181"/>
      <c r="F31" s="181"/>
      <c r="G31" s="181"/>
      <c r="H31" s="181"/>
      <c r="I31" s="181"/>
      <c r="J31" s="181"/>
      <c r="K31" s="182"/>
      <c r="L31" s="180"/>
      <c r="M31" s="181"/>
      <c r="N31" s="182"/>
      <c r="O31" s="65" t="s">
        <v>670</v>
      </c>
      <c r="P31" s="44"/>
      <c r="Q31" s="25" t="s">
        <v>29</v>
      </c>
      <c r="R31" s="22" t="s">
        <v>28</v>
      </c>
      <c r="S31" s="22" t="s">
        <v>28</v>
      </c>
      <c r="T31" s="113" t="s">
        <v>28</v>
      </c>
      <c r="U31" s="138" t="s">
        <v>29</v>
      </c>
      <c r="V31" s="22" t="s">
        <v>29</v>
      </c>
      <c r="W31" s="24" t="s">
        <v>28</v>
      </c>
      <c r="X31" s="25" t="s">
        <v>26</v>
      </c>
      <c r="Y31" s="22" t="s">
        <v>28</v>
      </c>
      <c r="Z31" s="22" t="s">
        <v>28</v>
      </c>
      <c r="AA31" s="113" t="s">
        <v>28</v>
      </c>
      <c r="AB31" s="138" t="s">
        <v>26</v>
      </c>
      <c r="AC31" s="22" t="s">
        <v>28</v>
      </c>
      <c r="AD31" s="24" t="s">
        <v>28</v>
      </c>
      <c r="AE31" s="25" t="s">
        <v>26</v>
      </c>
      <c r="AF31" s="22" t="s">
        <v>28</v>
      </c>
      <c r="AG31" s="22" t="s">
        <v>28</v>
      </c>
      <c r="AH31" s="113" t="s">
        <v>23</v>
      </c>
      <c r="AI31" s="22" t="s">
        <v>28</v>
      </c>
      <c r="AJ31" s="22" t="s">
        <v>28</v>
      </c>
      <c r="AK31" s="24" t="s">
        <v>28</v>
      </c>
      <c r="AL31" s="25" t="s">
        <v>26</v>
      </c>
      <c r="AM31" s="22" t="s">
        <v>28</v>
      </c>
      <c r="AN31" s="22" t="s">
        <v>28</v>
      </c>
      <c r="AO31" s="22" t="s">
        <v>28</v>
      </c>
      <c r="AP31" s="22" t="s">
        <v>28</v>
      </c>
      <c r="AQ31" s="113" t="s">
        <v>26</v>
      </c>
      <c r="AR31" s="24" t="s">
        <v>28</v>
      </c>
      <c r="AS31" s="154" t="s">
        <v>26</v>
      </c>
      <c r="AT31" s="113" t="s">
        <v>28</v>
      </c>
      <c r="AU31" s="113" t="s">
        <v>28</v>
      </c>
      <c r="AV31" s="40"/>
      <c r="AW31" s="187"/>
      <c r="AX31" s="187"/>
      <c r="AY31" s="187"/>
      <c r="AZ31" s="187"/>
      <c r="BA31" s="187"/>
      <c r="BB31" s="187"/>
      <c r="BC31" s="187"/>
      <c r="BD31" s="187"/>
      <c r="BE31" s="189"/>
    </row>
    <row r="32" spans="2:57" ht="15.95" customHeight="1" thickBot="1">
      <c r="B32" s="195"/>
      <c r="C32" s="70"/>
      <c r="D32" s="183"/>
      <c r="E32" s="184"/>
      <c r="F32" s="184"/>
      <c r="G32" s="184"/>
      <c r="H32" s="184"/>
      <c r="I32" s="184"/>
      <c r="J32" s="184"/>
      <c r="K32" s="185"/>
      <c r="L32" s="183"/>
      <c r="M32" s="184"/>
      <c r="N32" s="185"/>
      <c r="O32" s="66" t="s">
        <v>671</v>
      </c>
      <c r="P32" s="45"/>
      <c r="Q32" s="25">
        <v>4.5</v>
      </c>
      <c r="R32" s="21">
        <v>4.5</v>
      </c>
      <c r="S32" s="23">
        <v>5.5</v>
      </c>
      <c r="T32" s="137">
        <v>4.5</v>
      </c>
      <c r="U32" s="62">
        <v>0</v>
      </c>
      <c r="V32" s="62">
        <v>0</v>
      </c>
      <c r="W32" s="102">
        <v>5</v>
      </c>
      <c r="X32" s="85"/>
      <c r="Y32" s="21">
        <v>4.5</v>
      </c>
      <c r="Z32" s="23">
        <v>4.5</v>
      </c>
      <c r="AA32" s="137"/>
      <c r="AB32" s="62"/>
      <c r="AC32" s="62"/>
      <c r="AD32" s="102"/>
      <c r="AE32" s="85"/>
      <c r="AF32" s="21"/>
      <c r="AG32" s="23"/>
      <c r="AH32" s="137"/>
      <c r="AI32" s="62">
        <v>1.5</v>
      </c>
      <c r="AJ32" s="62"/>
      <c r="AK32" s="102">
        <v>5</v>
      </c>
      <c r="AL32" s="85"/>
      <c r="AM32" s="21">
        <v>2</v>
      </c>
      <c r="AN32" s="23">
        <v>3</v>
      </c>
      <c r="AO32" s="137">
        <v>2.5</v>
      </c>
      <c r="AP32" s="62">
        <v>2.5</v>
      </c>
      <c r="AQ32" s="62"/>
      <c r="AR32" s="157">
        <v>8.5</v>
      </c>
      <c r="AS32" s="156"/>
      <c r="AT32" s="139">
        <v>2</v>
      </c>
      <c r="AU32" s="62"/>
      <c r="AV32" s="46"/>
      <c r="AW32" s="187"/>
      <c r="AX32" s="187"/>
      <c r="AY32" s="187"/>
      <c r="AZ32" s="187"/>
      <c r="BA32" s="187"/>
      <c r="BB32" s="187"/>
      <c r="BC32" s="187"/>
      <c r="BD32" s="187"/>
      <c r="BE32" s="189"/>
    </row>
    <row r="33" spans="2:57" ht="15" customHeight="1">
      <c r="B33" s="39"/>
      <c r="C33" s="39"/>
      <c r="D33" s="100"/>
      <c r="E33" s="100"/>
      <c r="F33" s="100"/>
      <c r="G33" s="100"/>
      <c r="H33" s="100"/>
      <c r="I33" s="100"/>
      <c r="J33" s="100"/>
      <c r="K33" s="100"/>
      <c r="L33" s="100"/>
      <c r="M33" s="100"/>
      <c r="N33" s="101"/>
      <c r="O33" s="101"/>
      <c r="P33" s="39"/>
      <c r="Q33" s="101"/>
      <c r="R33" s="101"/>
      <c r="S33" s="101"/>
      <c r="T33" s="101"/>
      <c r="U33" s="142"/>
      <c r="V33" s="101"/>
      <c r="W33" s="101"/>
      <c r="X33" s="101"/>
      <c r="Y33" s="101"/>
      <c r="Z33" s="101"/>
      <c r="AA33" s="101"/>
      <c r="AB33" s="142"/>
      <c r="AC33" s="101"/>
      <c r="AD33" s="101"/>
      <c r="AE33" s="101"/>
      <c r="AF33" s="101"/>
      <c r="AG33" s="101"/>
      <c r="AH33" s="101"/>
      <c r="AI33" s="142"/>
      <c r="AJ33" s="101"/>
      <c r="AK33" s="101"/>
      <c r="AL33" s="101"/>
      <c r="AM33" s="101"/>
      <c r="AN33" s="101"/>
      <c r="AO33" s="101"/>
      <c r="AP33" s="142"/>
      <c r="AQ33" s="142"/>
      <c r="AR33" s="142"/>
      <c r="AS33" s="142"/>
      <c r="AT33" s="142"/>
      <c r="AU33" s="142"/>
      <c r="AV33" s="39"/>
      <c r="AW33" s="39"/>
      <c r="AX33" s="39"/>
      <c r="AY33" s="39"/>
      <c r="AZ33" s="39"/>
      <c r="BA33" s="39"/>
      <c r="BB33" s="39"/>
      <c r="BC33" s="39"/>
      <c r="BD33" s="39"/>
      <c r="BE33" s="39"/>
    </row>
    <row r="34" spans="2:57" ht="15" customHeight="1">
      <c r="B34" s="50" t="s">
        <v>33</v>
      </c>
      <c r="C34" s="51"/>
      <c r="D34" s="51"/>
      <c r="E34" s="212" t="s">
        <v>24</v>
      </c>
      <c r="F34" s="213"/>
      <c r="G34" s="213"/>
      <c r="H34" s="213"/>
      <c r="I34" s="214"/>
      <c r="J34" s="51"/>
      <c r="K34" s="51"/>
      <c r="L34" s="50" t="s">
        <v>33</v>
      </c>
      <c r="M34" s="52"/>
      <c r="N34" s="99" t="s">
        <v>24</v>
      </c>
      <c r="O34" s="89"/>
      <c r="P34" s="89"/>
      <c r="Q34" s="89"/>
      <c r="R34" s="89"/>
      <c r="S34" s="89"/>
      <c r="T34" s="90"/>
      <c r="U34" s="143"/>
      <c r="X34" s="28"/>
      <c r="Y34" s="28"/>
      <c r="Z34" s="28"/>
      <c r="AA34" s="28"/>
      <c r="AB34" s="145"/>
      <c r="AC34" s="28"/>
      <c r="AD34" s="28"/>
      <c r="AE34" s="28"/>
      <c r="AF34" s="28"/>
      <c r="AG34" s="28"/>
      <c r="AH34" s="28"/>
      <c r="AI34" s="145"/>
      <c r="AJ34" s="28"/>
      <c r="AK34" s="28"/>
      <c r="AL34" s="28"/>
      <c r="AM34" s="28"/>
      <c r="AN34" s="28"/>
      <c r="AO34" s="28"/>
      <c r="AP34" s="145"/>
      <c r="AQ34" s="145"/>
      <c r="AR34" s="145"/>
      <c r="AS34" s="145"/>
      <c r="AT34" s="145"/>
      <c r="AU34" s="145"/>
    </row>
    <row r="35" spans="2:57" ht="15" customHeight="1">
      <c r="B35" s="42" t="s">
        <v>28</v>
      </c>
      <c r="C35" s="87"/>
      <c r="D35" s="87"/>
      <c r="E35" s="53" t="s">
        <v>34</v>
      </c>
      <c r="F35" s="54"/>
      <c r="G35" s="54"/>
      <c r="H35" s="54"/>
      <c r="I35" s="54"/>
      <c r="J35" s="55"/>
      <c r="K35" s="56"/>
      <c r="L35" s="42" t="s">
        <v>31</v>
      </c>
      <c r="M35" s="56"/>
      <c r="N35" s="91" t="s">
        <v>55</v>
      </c>
      <c r="O35" s="92"/>
      <c r="P35" s="93"/>
      <c r="Q35" s="93"/>
      <c r="R35" s="93"/>
      <c r="S35" s="93"/>
      <c r="T35" s="94"/>
      <c r="U35" s="143"/>
      <c r="X35" s="28"/>
      <c r="Y35" s="28"/>
      <c r="Z35" s="28"/>
      <c r="AA35" s="28"/>
      <c r="AB35" s="145"/>
      <c r="AC35" s="28"/>
      <c r="AD35" s="28"/>
      <c r="AE35" s="28"/>
      <c r="AF35" s="28"/>
      <c r="AG35" s="28"/>
      <c r="AH35" s="28"/>
      <c r="AI35" s="145"/>
      <c r="AJ35" s="28"/>
      <c r="AK35" s="28"/>
      <c r="AL35" s="28"/>
      <c r="AM35" s="28"/>
      <c r="AN35" s="28"/>
      <c r="AO35" s="28"/>
      <c r="AP35" s="145"/>
      <c r="AQ35" s="145"/>
      <c r="AR35" s="145"/>
      <c r="AS35" s="145"/>
      <c r="AT35" s="145"/>
      <c r="AU35" s="145"/>
    </row>
    <row r="36" spans="2:57" ht="15" customHeight="1">
      <c r="B36" s="42" t="s">
        <v>29</v>
      </c>
      <c r="C36" s="87"/>
      <c r="D36" s="87"/>
      <c r="E36" s="53" t="s">
        <v>35</v>
      </c>
      <c r="F36" s="54"/>
      <c r="G36" s="54"/>
      <c r="H36" s="54"/>
      <c r="I36" s="54"/>
      <c r="J36" s="55"/>
      <c r="K36" s="56"/>
      <c r="L36" s="42" t="s">
        <v>23</v>
      </c>
      <c r="M36" s="56"/>
      <c r="N36" s="95" t="s">
        <v>39</v>
      </c>
      <c r="O36" s="92"/>
      <c r="P36" s="96"/>
      <c r="Q36" s="96"/>
      <c r="R36" s="96"/>
      <c r="S36" s="96"/>
      <c r="T36" s="97"/>
      <c r="U36" s="143"/>
      <c r="X36" s="28"/>
      <c r="Y36" s="28"/>
      <c r="Z36" s="28"/>
      <c r="AA36" s="28"/>
      <c r="AB36" s="145"/>
      <c r="AC36" s="28"/>
      <c r="AD36" s="28"/>
      <c r="AE36" s="28"/>
      <c r="AF36" s="28"/>
      <c r="AG36" s="28"/>
      <c r="AH36" s="28"/>
      <c r="AI36" s="145"/>
      <c r="AJ36" s="28"/>
      <c r="AK36" s="28"/>
      <c r="AL36" s="28"/>
      <c r="AM36" s="28"/>
      <c r="AN36" s="28"/>
      <c r="AO36" s="28"/>
      <c r="AP36" s="145"/>
      <c r="AQ36" s="145"/>
      <c r="AR36" s="145"/>
      <c r="AS36" s="145"/>
      <c r="AT36" s="145"/>
      <c r="AU36" s="145"/>
    </row>
    <row r="37" spans="2:57" ht="15" customHeight="1">
      <c r="B37" s="42" t="s">
        <v>26</v>
      </c>
      <c r="C37" s="87"/>
      <c r="D37" s="87"/>
      <c r="E37" s="53" t="s">
        <v>36</v>
      </c>
      <c r="F37" s="54"/>
      <c r="G37" s="54"/>
      <c r="H37" s="54"/>
      <c r="I37" s="54"/>
      <c r="J37" s="55"/>
      <c r="K37" s="56"/>
      <c r="L37" s="42" t="s">
        <v>27</v>
      </c>
      <c r="M37" s="56"/>
      <c r="N37" s="95" t="s">
        <v>41</v>
      </c>
      <c r="O37" s="92"/>
      <c r="P37" s="98"/>
      <c r="Q37" s="96"/>
      <c r="R37" s="96"/>
      <c r="S37" s="96"/>
      <c r="T37" s="97"/>
      <c r="U37" s="143"/>
      <c r="X37" s="28"/>
      <c r="Y37" s="28"/>
      <c r="Z37" s="28"/>
      <c r="AA37" s="28"/>
      <c r="AB37" s="145"/>
      <c r="AC37" s="28"/>
      <c r="AD37" s="28"/>
      <c r="AE37" s="28"/>
      <c r="AF37" s="28"/>
      <c r="AG37" s="28"/>
      <c r="AH37" s="28"/>
      <c r="AI37" s="145"/>
      <c r="AJ37" s="28"/>
      <c r="AK37" s="28"/>
      <c r="AL37" s="28"/>
      <c r="AM37" s="28"/>
      <c r="AN37" s="28"/>
      <c r="AO37" s="28"/>
      <c r="AP37" s="28"/>
      <c r="AQ37" s="28"/>
      <c r="AR37" s="28"/>
      <c r="AS37" s="28"/>
      <c r="AT37" s="28"/>
      <c r="AU37" s="28"/>
    </row>
    <row r="38" spans="2:57" ht="15" customHeight="1">
      <c r="B38" s="42" t="s">
        <v>30</v>
      </c>
      <c r="C38" s="87"/>
      <c r="D38" s="87"/>
      <c r="E38" s="53" t="s">
        <v>37</v>
      </c>
      <c r="F38" s="57"/>
      <c r="G38" s="57"/>
      <c r="H38" s="57"/>
      <c r="I38" s="57"/>
      <c r="J38" s="55"/>
      <c r="K38" s="87"/>
      <c r="L38" s="42" t="s">
        <v>32</v>
      </c>
      <c r="M38" s="87"/>
      <c r="N38" s="95" t="s">
        <v>38</v>
      </c>
      <c r="O38" s="96"/>
      <c r="P38" s="96"/>
      <c r="Q38" s="96"/>
      <c r="R38" s="96"/>
      <c r="S38" s="96"/>
      <c r="T38" s="97"/>
      <c r="U38" s="143"/>
      <c r="AB38" s="143"/>
      <c r="AI38" s="143"/>
    </row>
    <row r="39" spans="2:57" ht="15" customHeight="1">
      <c r="D39" s="87"/>
      <c r="E39" s="87"/>
      <c r="F39" s="87"/>
      <c r="G39" s="87"/>
      <c r="H39" s="87"/>
      <c r="I39" s="87"/>
      <c r="J39" s="87"/>
      <c r="K39" s="87"/>
      <c r="L39" s="87"/>
      <c r="M39" s="87"/>
    </row>
    <row r="40" spans="2:57" ht="15" customHeight="1">
      <c r="AW40" s="192" t="s">
        <v>878</v>
      </c>
      <c r="AX40" s="192"/>
      <c r="AY40" s="192"/>
      <c r="AZ40" s="192"/>
      <c r="BA40" s="192"/>
      <c r="BB40" s="192"/>
      <c r="BC40" s="192"/>
      <c r="BD40" s="192"/>
      <c r="BE40" s="87"/>
    </row>
    <row r="41" spans="2:57" ht="15" customHeight="1">
      <c r="B41" s="192" t="s">
        <v>4</v>
      </c>
      <c r="C41" s="192"/>
      <c r="D41" s="192"/>
      <c r="E41" s="192"/>
      <c r="F41" s="192"/>
      <c r="G41" s="192"/>
      <c r="H41" s="192"/>
      <c r="I41" s="192"/>
      <c r="J41" s="192"/>
      <c r="K41" s="192"/>
      <c r="L41" s="192"/>
      <c r="M41" s="87"/>
      <c r="AI41" s="108" t="s">
        <v>3</v>
      </c>
      <c r="AW41" s="192" t="s">
        <v>879</v>
      </c>
      <c r="AX41" s="192"/>
      <c r="AY41" s="192"/>
      <c r="AZ41" s="192"/>
      <c r="BA41" s="192"/>
      <c r="BB41" s="192"/>
      <c r="BC41" s="192"/>
      <c r="BD41" s="192"/>
    </row>
    <row r="42" spans="2:57" ht="15" customHeight="1">
      <c r="D42" s="87"/>
      <c r="E42" s="87"/>
      <c r="F42" s="87"/>
      <c r="G42" s="87"/>
      <c r="H42" s="87"/>
      <c r="I42" s="87"/>
      <c r="J42" s="87"/>
      <c r="K42" s="87"/>
      <c r="L42" s="87"/>
      <c r="M42" s="87"/>
      <c r="AI42" s="87"/>
    </row>
    <row r="43" spans="2:57" ht="15" customHeight="1">
      <c r="D43" s="108"/>
      <c r="E43" s="108"/>
      <c r="F43" s="108"/>
      <c r="G43" s="108"/>
      <c r="H43" s="108"/>
      <c r="I43" s="108"/>
      <c r="J43" s="108"/>
      <c r="K43" s="108"/>
      <c r="L43" s="108"/>
      <c r="M43" s="108"/>
      <c r="AI43" s="108"/>
    </row>
    <row r="44" spans="2:57" ht="15" customHeight="1">
      <c r="D44" s="87"/>
      <c r="E44" s="87"/>
      <c r="F44" s="87"/>
      <c r="G44" s="87"/>
      <c r="H44" s="87"/>
      <c r="I44" s="87"/>
      <c r="J44" s="87"/>
      <c r="K44" s="87"/>
      <c r="L44" s="87"/>
      <c r="M44" s="87"/>
      <c r="AI44" s="87"/>
    </row>
    <row r="45" spans="2:57" ht="15" customHeight="1">
      <c r="B45" s="190" t="s">
        <v>2</v>
      </c>
      <c r="C45" s="190"/>
      <c r="D45" s="190"/>
      <c r="E45" s="190"/>
      <c r="F45" s="190"/>
      <c r="G45" s="190"/>
      <c r="H45" s="190"/>
      <c r="I45" s="190"/>
      <c r="J45" s="190"/>
      <c r="K45" s="190"/>
      <c r="L45" s="190"/>
      <c r="M45" s="86"/>
      <c r="P45" s="86"/>
      <c r="AI45" s="86" t="s">
        <v>876</v>
      </c>
      <c r="AW45" s="190" t="s">
        <v>51</v>
      </c>
      <c r="AX45" s="190"/>
      <c r="AY45" s="190"/>
      <c r="AZ45" s="190"/>
      <c r="BA45" s="190"/>
      <c r="BB45" s="190"/>
      <c r="BC45" s="190"/>
      <c r="BD45" s="190"/>
      <c r="BE45" s="86"/>
    </row>
    <row r="46" spans="2:57" ht="15" customHeight="1">
      <c r="B46" s="192" t="s">
        <v>1</v>
      </c>
      <c r="C46" s="192"/>
      <c r="D46" s="192"/>
      <c r="E46" s="192"/>
      <c r="F46" s="192"/>
      <c r="G46" s="192"/>
      <c r="H46" s="192"/>
      <c r="I46" s="192"/>
      <c r="J46" s="192"/>
      <c r="K46" s="192"/>
      <c r="L46" s="192"/>
      <c r="M46" s="87"/>
      <c r="P46" s="87"/>
      <c r="AI46" s="87" t="s">
        <v>0</v>
      </c>
      <c r="AW46" s="192" t="s">
        <v>657</v>
      </c>
      <c r="AX46" s="192"/>
      <c r="AY46" s="192"/>
      <c r="AZ46" s="192"/>
      <c r="BA46" s="192"/>
      <c r="BB46" s="192"/>
      <c r="BC46" s="192"/>
      <c r="BD46" s="192"/>
      <c r="BE46" s="87"/>
    </row>
    <row r="47" spans="2:57" ht="15" customHeight="1">
      <c r="D47" s="87"/>
      <c r="E47" s="87"/>
      <c r="F47" s="87"/>
      <c r="G47" s="87"/>
      <c r="H47" s="87"/>
      <c r="I47" s="87"/>
      <c r="J47" s="87"/>
      <c r="K47" s="87"/>
      <c r="L47" s="87"/>
      <c r="M47" s="87"/>
    </row>
  </sheetData>
  <autoFilter ref="B12:BD32" xr:uid="{1C80A187-FFD8-4811-811E-448AD66CFC73}"/>
  <mergeCells count="86">
    <mergeCell ref="AW46:BD46"/>
    <mergeCell ref="E34:I34"/>
    <mergeCell ref="AW40:BD40"/>
    <mergeCell ref="AW41:BD41"/>
    <mergeCell ref="AW45:BD45"/>
    <mergeCell ref="B41:L41"/>
    <mergeCell ref="B45:L45"/>
    <mergeCell ref="B46:L46"/>
    <mergeCell ref="BE29:BE32"/>
    <mergeCell ref="B29:B32"/>
    <mergeCell ref="D29:K32"/>
    <mergeCell ref="L29:N32"/>
    <mergeCell ref="AW29:AW32"/>
    <mergeCell ref="AX29:AX32"/>
    <mergeCell ref="AY29:AY32"/>
    <mergeCell ref="AZ29:AZ32"/>
    <mergeCell ref="BA29:BA32"/>
    <mergeCell ref="BB29:BB32"/>
    <mergeCell ref="BC29:BC32"/>
    <mergeCell ref="BD29:BD32"/>
    <mergeCell ref="BE25:BE28"/>
    <mergeCell ref="B25:B28"/>
    <mergeCell ref="D25:K28"/>
    <mergeCell ref="L25:N28"/>
    <mergeCell ref="AW25:AW28"/>
    <mergeCell ref="AX25:AX28"/>
    <mergeCell ref="AY25:AY28"/>
    <mergeCell ref="AZ25:AZ28"/>
    <mergeCell ref="BA25:BA28"/>
    <mergeCell ref="BB25:BB28"/>
    <mergeCell ref="BC25:BC28"/>
    <mergeCell ref="BD25:BD28"/>
    <mergeCell ref="BE21:BE24"/>
    <mergeCell ref="B21:B24"/>
    <mergeCell ref="D21:K24"/>
    <mergeCell ref="L21:N24"/>
    <mergeCell ref="AW21:AW24"/>
    <mergeCell ref="AX21:AX24"/>
    <mergeCell ref="AY21:AY24"/>
    <mergeCell ref="AZ21:AZ24"/>
    <mergeCell ref="BA21:BA24"/>
    <mergeCell ref="BB21:BB24"/>
    <mergeCell ref="BC21:BC24"/>
    <mergeCell ref="BD21:BD24"/>
    <mergeCell ref="BE17:BE20"/>
    <mergeCell ref="B17:B20"/>
    <mergeCell ref="D17:K20"/>
    <mergeCell ref="L17:N20"/>
    <mergeCell ref="AW17:AW20"/>
    <mergeCell ref="AX17:AX20"/>
    <mergeCell ref="AY17:AY20"/>
    <mergeCell ref="AZ17:AZ20"/>
    <mergeCell ref="BA17:BA20"/>
    <mergeCell ref="BB17:BB20"/>
    <mergeCell ref="BC17:BC20"/>
    <mergeCell ref="BD17:BD20"/>
    <mergeCell ref="BE13:BE16"/>
    <mergeCell ref="B13:B16"/>
    <mergeCell ref="D13:K16"/>
    <mergeCell ref="L13:N16"/>
    <mergeCell ref="AW13:AW16"/>
    <mergeCell ref="AX13:AX16"/>
    <mergeCell ref="AY13:AY16"/>
    <mergeCell ref="AZ13:AZ16"/>
    <mergeCell ref="BA13:BA16"/>
    <mergeCell ref="BB13:BB16"/>
    <mergeCell ref="BC13:BC16"/>
    <mergeCell ref="BD13:BD16"/>
    <mergeCell ref="B10:B11"/>
    <mergeCell ref="D10:K11"/>
    <mergeCell ref="L10:N11"/>
    <mergeCell ref="O10:O11"/>
    <mergeCell ref="AW10:AW11"/>
    <mergeCell ref="B6:BE6"/>
    <mergeCell ref="B7:BE7"/>
    <mergeCell ref="AW9:BE9"/>
    <mergeCell ref="Q9:AA9"/>
    <mergeCell ref="AB9:AU9"/>
    <mergeCell ref="BD10:BD11"/>
    <mergeCell ref="BE10:BE11"/>
    <mergeCell ref="AX10:AX11"/>
    <mergeCell ref="AY10:AY11"/>
    <mergeCell ref="AZ10:AZ11"/>
    <mergeCell ref="BA10:BA11"/>
    <mergeCell ref="BB10:BB11"/>
    <mergeCell ref="BC10:BC11"/>
  </mergeCells>
  <printOptions horizontalCentered="1"/>
  <pageMargins left="0.19685039370078741" right="0.19685039370078741" top="0.59055118110236227" bottom="0.39370078740157483" header="0.31496062992125984" footer="0.31496062992125984"/>
  <pageSetup paperSize="9" scale="54" orientation="landscape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Sheet1</vt:lpstr>
      <vt:lpstr>Lap. Log Absen</vt:lpstr>
      <vt:lpstr>Sheet2</vt:lpstr>
      <vt:lpstr>YARD</vt:lpstr>
      <vt:lpstr>LAPANGAN</vt:lpstr>
      <vt:lpstr>LAPANGAN!Print_Area</vt:lpstr>
      <vt:lpstr>Sheet1!Print_Area</vt:lpstr>
      <vt:lpstr>YARD!Print_Area</vt:lpstr>
      <vt:lpstr>LAPANGAN!Print_Titles</vt:lpstr>
      <vt:lpstr>YARD!Print_Titles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MyLaptop</cp:lastModifiedBy>
  <cp:lastPrinted>2026-01-28T02:40:29Z</cp:lastPrinted>
  <dcterms:created xsi:type="dcterms:W3CDTF">2025-05-02T10:24:29Z</dcterms:created>
  <dcterms:modified xsi:type="dcterms:W3CDTF">2026-02-01T04:47:34Z</dcterms:modified>
</cp:coreProperties>
</file>