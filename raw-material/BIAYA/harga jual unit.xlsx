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NA REKAYASA ANUGRAH\"/>
    </mc:Choice>
  </mc:AlternateContent>
  <xr:revisionPtr revIDLastSave="0" documentId="13_ncr:1_{D929BDA5-95DA-4AF2-8C8A-00985CB818AF}" xr6:coauthVersionLast="47" xr6:coauthVersionMax="47" xr10:uidLastSave="{00000000-0000-0000-0000-000000000000}"/>
  <bookViews>
    <workbookView xWindow="-108" yWindow="-108" windowWidth="23256" windowHeight="12456" xr2:uid="{C40A9D9F-A33D-45CA-9389-3634C221B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2" i="1"/>
  <c r="M7" i="1"/>
  <c r="M6" i="1"/>
  <c r="M3" i="1"/>
  <c r="M4" i="1"/>
  <c r="M5" i="1"/>
  <c r="M8" i="1"/>
  <c r="M2" i="1"/>
</calcChain>
</file>

<file path=xl/sharedStrings.xml><?xml version="1.0" encoding="utf-8"?>
<sst xmlns="http://schemas.openxmlformats.org/spreadsheetml/2006/main" count="91" uniqueCount="51">
  <si>
    <t>Bulldozer Caterpillar D6R</t>
  </si>
  <si>
    <t>S6X00348</t>
  </si>
  <si>
    <t>Dozer 06</t>
  </si>
  <si>
    <t>Bulldozer Komatsu D85ESS-2</t>
  </si>
  <si>
    <t>J16298</t>
  </si>
  <si>
    <t>Dozer 04</t>
  </si>
  <si>
    <t>Excavator Caterpillar 305.5E2</t>
  </si>
  <si>
    <t>WE217079</t>
  </si>
  <si>
    <t>Exca 16</t>
  </si>
  <si>
    <t>WE217080</t>
  </si>
  <si>
    <t>Exca 17</t>
  </si>
  <si>
    <t>Bulldozer Caterpillar D7G2</t>
  </si>
  <si>
    <t>7MB05410</t>
  </si>
  <si>
    <t>Dozer 07</t>
  </si>
  <si>
    <t>Bulldozer Caterpillar D6G</t>
  </si>
  <si>
    <t>P6G00163</t>
  </si>
  <si>
    <t>Dozer 01</t>
  </si>
  <si>
    <t>BZP03563</t>
  </si>
  <si>
    <t>Exca 04</t>
  </si>
  <si>
    <t>total biaya perbaikan</t>
  </si>
  <si>
    <t>health</t>
  </si>
  <si>
    <t xml:space="preserve">Harga Beli </t>
  </si>
  <si>
    <t>Depresiasi</t>
  </si>
  <si>
    <t>Nama Alat Berat</t>
  </si>
  <si>
    <t>Tahun</t>
  </si>
  <si>
    <t>ID</t>
  </si>
  <si>
    <t xml:space="preserve">Tahun Beli </t>
  </si>
  <si>
    <t>&lt;50%</t>
  </si>
  <si>
    <t>&gt;80%</t>
  </si>
  <si>
    <t>&lt;80%</t>
  </si>
  <si>
    <t>SN</t>
  </si>
  <si>
    <t>N0</t>
  </si>
  <si>
    <t>Excavator Caterpillar 320D</t>
  </si>
  <si>
    <t>Pendapatan</t>
  </si>
  <si>
    <t>Rp420.000.000 – Rp480.000.000</t>
  </si>
  <si>
    <t>450.000.000 – 520.000.000</t>
  </si>
  <si>
    <t>750.000.000 – 900.000.000</t>
  </si>
  <si>
    <t>420.000.000 –480.000.000</t>
  </si>
  <si>
    <t>420.000.000 – 500.000.000</t>
  </si>
  <si>
    <t>400.000.000 – 550.000.000</t>
  </si>
  <si>
    <t>400.000.00 – 580.000.000</t>
  </si>
  <si>
    <t>Nilai depresiasi</t>
  </si>
  <si>
    <t>Harga Pasaran</t>
  </si>
  <si>
    <t>kondisi fisik/ body</t>
  </si>
  <si>
    <t xml:space="preserve"> 550 jt</t>
  </si>
  <si>
    <t>950 jt</t>
  </si>
  <si>
    <t>520 jt</t>
  </si>
  <si>
    <t>510 jt</t>
  </si>
  <si>
    <t>500 jt</t>
  </si>
  <si>
    <t>Net harga (jt) *HARGA KE BRA</t>
  </si>
  <si>
    <t>Harga ditawarkan ke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</si>
</sst>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6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wrapText="1"/>
    </xf>
    <xf numFmtId="0" fontId="4" fillId="0" borderId="1" xfId="2" applyBorder="1"/>
    <xf numFmtId="0" fontId="2" fillId="0" borderId="1" xfId="0" applyFont="1" applyBorder="1" applyAlignment="1">
      <alignment horizontal="center" wrapText="1"/>
    </xf>
    <xf numFmtId="0" fontId="4" fillId="0" borderId="1" xfId="2" applyBorder="1" applyAlignment="1">
      <alignment horizontal="center" wrapText="1"/>
    </xf>
    <xf numFmtId="6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wrapText="1"/>
    </xf>
    <xf numFmtId="6" fontId="5" fillId="0" borderId="1" xfId="0" applyNumberFormat="1" applyFont="1" applyBorder="1"/>
    <xf numFmtId="164" fontId="0" fillId="0" borderId="1" xfId="0" applyNumberFormat="1" applyBorder="1"/>
    <xf numFmtId="0" fontId="4" fillId="0" borderId="1" xfId="2" applyBorder="1" applyAlignment="1">
      <alignment horizontal="center" vertical="center" wrapText="1"/>
    </xf>
    <xf numFmtId="164" fontId="0" fillId="0" borderId="2" xfId="1" applyNumberFormat="1" applyFont="1" applyFill="1" applyBorder="1"/>
    <xf numFmtId="9" fontId="0" fillId="0" borderId="1" xfId="3" applyFont="1" applyBorder="1"/>
    <xf numFmtId="9" fontId="0" fillId="0" borderId="0" xfId="3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3" applyFont="1" applyBorder="1" applyAlignment="1">
      <alignment horizontal="center" vertical="center"/>
    </xf>
    <xf numFmtId="164" fontId="0" fillId="0" borderId="0" xfId="0" applyNumberFormat="1"/>
    <xf numFmtId="164" fontId="0" fillId="0" borderId="1" xfId="1" applyNumberFormat="1" applyFont="1" applyBorder="1" applyAlignment="1">
      <alignment horizontal="right"/>
    </xf>
    <xf numFmtId="164" fontId="0" fillId="0" borderId="2" xfId="1" applyNumberFormat="1" applyFont="1" applyFill="1" applyBorder="1" applyAlignment="1">
      <alignment horizontal="right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LSEWT19YXgC9nGsNIIa7bFsl4MXmybws?usp=drive_link" TargetMode="External"/><Relationship Id="rId13" Type="http://schemas.openxmlformats.org/officeDocument/2006/relationships/hyperlink" Target="https://drive.google.com/drive/folders/1MtwALAl9agJVWKkHBaGV9tge9FaIdK1r?usp=drive_link" TargetMode="External"/><Relationship Id="rId18" Type="http://schemas.openxmlformats.org/officeDocument/2006/relationships/hyperlink" Target="https://drive.google.com/drive/folders/1aaS0dQoEjkdj7E7KQDsuPBvNaPbTfhln?usp=drive_link" TargetMode="External"/><Relationship Id="rId3" Type="http://schemas.openxmlformats.org/officeDocument/2006/relationships/hyperlink" Target="https://drive.google.com/drive/folders/14M-6P1kCqT5oiegjvNAfmataJJeFEDiF?usp=drive_link" TargetMode="External"/><Relationship Id="rId21" Type="http://schemas.openxmlformats.org/officeDocument/2006/relationships/hyperlink" Target="https://drive.google.com/drive/folders/1S9Ib9iQnwwVZaCMw1UkMmKoKRy6vHtYg?usp=drive_link" TargetMode="External"/><Relationship Id="rId7" Type="http://schemas.openxmlformats.org/officeDocument/2006/relationships/hyperlink" Target="https://drive.google.com/drive/folders/1VEckYRAGroY1r3ZnXHsB0N9u2O8sDPXd?usp=drive_link" TargetMode="External"/><Relationship Id="rId12" Type="http://schemas.openxmlformats.org/officeDocument/2006/relationships/hyperlink" Target="https://drive.google.com/drive/folders/1fxr-pLbynlTk6fbtM9sm_uvnci52ptsJ?usp=drive_link" TargetMode="External"/><Relationship Id="rId17" Type="http://schemas.openxmlformats.org/officeDocument/2006/relationships/hyperlink" Target="https://drive.google.com/drive/folders/1ZU-QFcT61CL0BxRpczKJPqGGY5iduDCp?usp=drive_link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drive/folders/1XGv9m8EA8qiBiNado0viqIgq-7dUyBxU?usp=drive_link" TargetMode="External"/><Relationship Id="rId16" Type="http://schemas.openxmlformats.org/officeDocument/2006/relationships/hyperlink" Target="https://drive.google.com/drive/folders/1EgaUvrLjtKnLlMtdqM_XuXLxZ_L34gT-?usp=drive_link" TargetMode="External"/><Relationship Id="rId20" Type="http://schemas.openxmlformats.org/officeDocument/2006/relationships/hyperlink" Target="https://drive.google.com/drive/folders/1LSEWT19YXgC9nGsNIIa7bFsl4MXmybws?usp=drive_link" TargetMode="External"/><Relationship Id="rId1" Type="http://schemas.openxmlformats.org/officeDocument/2006/relationships/hyperlink" Target="https://drive.google.com/drive/folders/1MtwALAl9agJVWKkHBaGV9tge9FaIdK1r?usp=drive_link" TargetMode="External"/><Relationship Id="rId6" Type="http://schemas.openxmlformats.org/officeDocument/2006/relationships/hyperlink" Target="https://drive.google.com/drive/folders/1aaS0dQoEjkdj7E7KQDsuPBvNaPbTfhln?usp=drive_link" TargetMode="External"/><Relationship Id="rId11" Type="http://schemas.openxmlformats.org/officeDocument/2006/relationships/hyperlink" Target="https://drive.google.com/drive/folders/1EgaUvrLjtKnLlMtdqM_XuXLxZ_L34gT-?usp=drive_link" TargetMode="External"/><Relationship Id="rId24" Type="http://schemas.openxmlformats.org/officeDocument/2006/relationships/hyperlink" Target="https://drive.google.com/drive/folders/1fxr-pLbynlTk6fbtM9sm_uvnci52ptsJ?usp=drive_link" TargetMode="External"/><Relationship Id="rId5" Type="http://schemas.openxmlformats.org/officeDocument/2006/relationships/hyperlink" Target="https://drive.google.com/drive/folders/1ZU-QFcT61CL0BxRpczKJPqGGY5iduDCp?usp=drive_link" TargetMode="External"/><Relationship Id="rId15" Type="http://schemas.openxmlformats.org/officeDocument/2006/relationships/hyperlink" Target="https://drive.google.com/drive/folders/14M-6P1kCqT5oiegjvNAfmataJJeFEDiF?usp=drive_link" TargetMode="External"/><Relationship Id="rId23" Type="http://schemas.openxmlformats.org/officeDocument/2006/relationships/hyperlink" Target="https://drive.google.com/drive/folders/1EgaUvrLjtKnLlMtdqM_XuXLxZ_L34gT-?usp=drive_link" TargetMode="External"/><Relationship Id="rId10" Type="http://schemas.openxmlformats.org/officeDocument/2006/relationships/hyperlink" Target="https://drive.google.com/drive/folders/14c5-9Lafak28kPxxrMMocbf-phLIPRcU?usp=sharing" TargetMode="External"/><Relationship Id="rId19" Type="http://schemas.openxmlformats.org/officeDocument/2006/relationships/hyperlink" Target="https://drive.google.com/drive/folders/1VEckYRAGroY1r3ZnXHsB0N9u2O8sDPXd?usp=drive_link" TargetMode="External"/><Relationship Id="rId4" Type="http://schemas.openxmlformats.org/officeDocument/2006/relationships/hyperlink" Target="https://drive.google.com/drive/folders/1EgaUvrLjtKnLlMtdqM_XuXLxZ_L34gT-?usp=drive_link" TargetMode="External"/><Relationship Id="rId9" Type="http://schemas.openxmlformats.org/officeDocument/2006/relationships/hyperlink" Target="https://drive.google.com/drive/folders/1S9Ib9iQnwwVZaCMw1UkMmKoKRy6vHtYg?usp=drive_link" TargetMode="External"/><Relationship Id="rId14" Type="http://schemas.openxmlformats.org/officeDocument/2006/relationships/hyperlink" Target="https://drive.google.com/drive/folders/1XGv9m8EA8qiBiNado0viqIgq-7dUyBxU?usp=drive_link" TargetMode="External"/><Relationship Id="rId22" Type="http://schemas.openxmlformats.org/officeDocument/2006/relationships/hyperlink" Target="https://drive.google.com/drive/folders/14c5-9Lafak28kPxxrMMocbf-phLIPRcU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D372-B143-4DDB-91E9-4E974E443DD5}">
  <dimension ref="A1:Q21"/>
  <sheetViews>
    <sheetView tabSelected="1" zoomScale="56" zoomScaleNormal="56" workbookViewId="0">
      <selection activeCell="Z11" sqref="Z11"/>
    </sheetView>
  </sheetViews>
  <sheetFormatPr defaultRowHeight="14.4" x14ac:dyDescent="0.3"/>
  <cols>
    <col min="2" max="2" width="30.77734375" customWidth="1"/>
    <col min="3" max="3" width="12.77734375" customWidth="1"/>
    <col min="4" max="5" width="8.88671875" customWidth="1"/>
    <col min="6" max="6" width="21.88671875" hidden="1" customWidth="1"/>
    <col min="7" max="8" width="10.44140625" hidden="1" customWidth="1"/>
    <col min="9" max="9" width="19.21875" hidden="1" customWidth="1"/>
    <col min="10" max="10" width="20.77734375" hidden="1" customWidth="1"/>
    <col min="11" max="11" width="14.6640625" hidden="1" customWidth="1"/>
    <col min="12" max="12" width="16.109375" style="20" hidden="1" customWidth="1"/>
    <col min="13" max="13" width="15.5546875" hidden="1" customWidth="1"/>
    <col min="14" max="14" width="35" hidden="1" customWidth="1"/>
    <col min="15" max="15" width="19.6640625" customWidth="1"/>
    <col min="16" max="16" width="32.33203125" customWidth="1"/>
    <col min="17" max="17" width="15.21875" bestFit="1" customWidth="1"/>
  </cols>
  <sheetData>
    <row r="1" spans="1:17" ht="40.200000000000003" customHeight="1" x14ac:dyDescent="0.3">
      <c r="A1" s="21" t="s">
        <v>31</v>
      </c>
      <c r="B1" s="21" t="s">
        <v>23</v>
      </c>
      <c r="C1" s="21" t="s">
        <v>30</v>
      </c>
      <c r="D1" s="21" t="s">
        <v>24</v>
      </c>
      <c r="E1" s="21" t="s">
        <v>25</v>
      </c>
      <c r="F1" s="21" t="s">
        <v>19</v>
      </c>
      <c r="G1" s="21" t="s">
        <v>20</v>
      </c>
      <c r="H1" s="22" t="s">
        <v>43</v>
      </c>
      <c r="I1" s="21" t="s">
        <v>21</v>
      </c>
      <c r="J1" s="21" t="s">
        <v>33</v>
      </c>
      <c r="K1" s="21" t="s">
        <v>26</v>
      </c>
      <c r="L1" s="23" t="s">
        <v>22</v>
      </c>
      <c r="M1" s="21" t="s">
        <v>41</v>
      </c>
      <c r="N1" s="21" t="s">
        <v>42</v>
      </c>
      <c r="O1" s="22" t="s">
        <v>50</v>
      </c>
    </row>
    <row r="2" spans="1:17" x14ac:dyDescent="0.3">
      <c r="A2" s="6">
        <v>1</v>
      </c>
      <c r="B2" s="14" t="s">
        <v>0</v>
      </c>
      <c r="C2" s="7" t="s">
        <v>1</v>
      </c>
      <c r="D2" s="8">
        <v>2011</v>
      </c>
      <c r="E2" s="9" t="s">
        <v>2</v>
      </c>
      <c r="F2" s="10">
        <v>421415277</v>
      </c>
      <c r="G2" s="11" t="s">
        <v>27</v>
      </c>
      <c r="H2" s="11" t="s">
        <v>28</v>
      </c>
      <c r="I2" s="12">
        <v>600000000</v>
      </c>
      <c r="J2" s="12">
        <v>1640000000</v>
      </c>
      <c r="K2" s="12">
        <v>2022</v>
      </c>
      <c r="L2" s="19">
        <v>0.4</v>
      </c>
      <c r="M2" s="12">
        <f>L2*I2</f>
        <v>240000000</v>
      </c>
      <c r="N2" s="13" t="s">
        <v>35</v>
      </c>
      <c r="O2" s="25" t="s">
        <v>44</v>
      </c>
      <c r="Q2" s="24">
        <f>I2-M2</f>
        <v>360000000</v>
      </c>
    </row>
    <row r="3" spans="1:17" x14ac:dyDescent="0.3">
      <c r="A3" s="6">
        <v>2</v>
      </c>
      <c r="B3" s="14" t="s">
        <v>3</v>
      </c>
      <c r="C3" s="14" t="s">
        <v>4</v>
      </c>
      <c r="D3" s="6">
        <v>2013</v>
      </c>
      <c r="E3" s="9" t="s">
        <v>5</v>
      </c>
      <c r="F3" s="10">
        <v>403684851</v>
      </c>
      <c r="G3" s="11" t="s">
        <v>27</v>
      </c>
      <c r="H3" s="11" t="s">
        <v>28</v>
      </c>
      <c r="I3" s="12">
        <v>1220000000</v>
      </c>
      <c r="J3" s="12">
        <v>1185564516</v>
      </c>
      <c r="K3" s="12">
        <v>2023</v>
      </c>
      <c r="L3" s="19">
        <v>0.3</v>
      </c>
      <c r="M3" s="12">
        <f t="shared" ref="M3:M8" si="0">L3*I3</f>
        <v>366000000</v>
      </c>
      <c r="N3" s="13" t="s">
        <v>36</v>
      </c>
      <c r="O3" s="25" t="s">
        <v>45</v>
      </c>
      <c r="Q3" s="24">
        <f t="shared" ref="Q3:Q8" si="1">I3-M3</f>
        <v>854000000</v>
      </c>
    </row>
    <row r="4" spans="1:17" x14ac:dyDescent="0.3">
      <c r="A4" s="6">
        <v>3</v>
      </c>
      <c r="B4" s="14" t="s">
        <v>6</v>
      </c>
      <c r="C4" s="14" t="s">
        <v>7</v>
      </c>
      <c r="D4" s="6">
        <v>2023</v>
      </c>
      <c r="E4" s="9" t="s">
        <v>8</v>
      </c>
      <c r="F4" s="15">
        <v>35606864</v>
      </c>
      <c r="G4" s="11" t="s">
        <v>27</v>
      </c>
      <c r="H4" s="11" t="s">
        <v>29</v>
      </c>
      <c r="I4" s="12">
        <v>841380000</v>
      </c>
      <c r="J4" s="12">
        <v>1165833333</v>
      </c>
      <c r="K4" s="12">
        <v>2023</v>
      </c>
      <c r="L4" s="19">
        <v>0.3</v>
      </c>
      <c r="M4" s="12">
        <f t="shared" si="0"/>
        <v>252414000</v>
      </c>
      <c r="N4" s="13" t="s">
        <v>37</v>
      </c>
      <c r="O4" s="25" t="s">
        <v>46</v>
      </c>
      <c r="Q4" s="24">
        <f t="shared" si="1"/>
        <v>588966000</v>
      </c>
    </row>
    <row r="5" spans="1:17" x14ac:dyDescent="0.3">
      <c r="A5" s="6">
        <v>4</v>
      </c>
      <c r="B5" s="14" t="s">
        <v>6</v>
      </c>
      <c r="C5" s="7" t="s">
        <v>9</v>
      </c>
      <c r="D5" s="6">
        <v>2023</v>
      </c>
      <c r="E5" s="9" t="s">
        <v>10</v>
      </c>
      <c r="F5" s="15">
        <v>66808545</v>
      </c>
      <c r="G5" s="11" t="s">
        <v>27</v>
      </c>
      <c r="H5" s="11" t="s">
        <v>29</v>
      </c>
      <c r="I5" s="12">
        <v>841380000</v>
      </c>
      <c r="J5" s="12">
        <v>1800000000</v>
      </c>
      <c r="K5" s="12">
        <v>2023</v>
      </c>
      <c r="L5" s="19">
        <v>0.3</v>
      </c>
      <c r="M5" s="12">
        <f t="shared" si="0"/>
        <v>252414000</v>
      </c>
      <c r="N5" s="13" t="s">
        <v>34</v>
      </c>
      <c r="O5" s="25" t="s">
        <v>47</v>
      </c>
      <c r="Q5" s="24">
        <f t="shared" si="1"/>
        <v>588966000</v>
      </c>
    </row>
    <row r="6" spans="1:17" x14ac:dyDescent="0.3">
      <c r="A6" s="6">
        <v>5</v>
      </c>
      <c r="B6" s="14" t="s">
        <v>11</v>
      </c>
      <c r="C6" s="7" t="s">
        <v>12</v>
      </c>
      <c r="D6" s="6">
        <v>2010</v>
      </c>
      <c r="E6" s="9" t="s">
        <v>13</v>
      </c>
      <c r="F6" s="15">
        <v>286553522</v>
      </c>
      <c r="G6" s="11" t="s">
        <v>27</v>
      </c>
      <c r="H6" s="11" t="s">
        <v>29</v>
      </c>
      <c r="I6" s="12">
        <v>800000000</v>
      </c>
      <c r="J6" s="12">
        <v>1530000000</v>
      </c>
      <c r="K6" s="12">
        <v>2022</v>
      </c>
      <c r="L6" s="19">
        <v>0.4</v>
      </c>
      <c r="M6" s="12">
        <f>L6*I6</f>
        <v>320000000</v>
      </c>
      <c r="N6" s="13" t="s">
        <v>38</v>
      </c>
      <c r="O6" s="26" t="s">
        <v>46</v>
      </c>
      <c r="Q6" s="24">
        <f t="shared" si="1"/>
        <v>480000000</v>
      </c>
    </row>
    <row r="7" spans="1:17" x14ac:dyDescent="0.3">
      <c r="A7" s="6">
        <v>6</v>
      </c>
      <c r="B7" s="14" t="s">
        <v>14</v>
      </c>
      <c r="C7" s="7" t="s">
        <v>15</v>
      </c>
      <c r="D7" s="6">
        <v>2006</v>
      </c>
      <c r="E7" s="9" t="s">
        <v>16</v>
      </c>
      <c r="F7" s="10">
        <v>579012317</v>
      </c>
      <c r="G7" s="11" t="s">
        <v>27</v>
      </c>
      <c r="H7" s="11" t="s">
        <v>29</v>
      </c>
      <c r="I7" s="18">
        <v>415000000</v>
      </c>
      <c r="J7" s="12">
        <v>1395000000</v>
      </c>
      <c r="K7" s="12">
        <v>2023</v>
      </c>
      <c r="L7" s="19">
        <v>0.3</v>
      </c>
      <c r="M7" s="12">
        <f>L7*I7</f>
        <v>124500000</v>
      </c>
      <c r="N7" s="13" t="s">
        <v>39</v>
      </c>
      <c r="O7" s="25" t="s">
        <v>48</v>
      </c>
      <c r="Q7" s="24">
        <f t="shared" si="1"/>
        <v>290500000</v>
      </c>
    </row>
    <row r="8" spans="1:17" x14ac:dyDescent="0.3">
      <c r="A8" s="6">
        <v>7</v>
      </c>
      <c r="B8" s="14" t="s">
        <v>32</v>
      </c>
      <c r="C8" s="7" t="s">
        <v>17</v>
      </c>
      <c r="D8" s="6">
        <v>2012</v>
      </c>
      <c r="E8" s="17" t="s">
        <v>18</v>
      </c>
      <c r="F8" s="10">
        <v>456208914</v>
      </c>
      <c r="G8" s="11" t="s">
        <v>27</v>
      </c>
      <c r="H8" s="11" t="s">
        <v>29</v>
      </c>
      <c r="I8" s="16">
        <v>370000000</v>
      </c>
      <c r="J8" s="12">
        <v>1755000000</v>
      </c>
      <c r="K8" s="12">
        <v>2021</v>
      </c>
      <c r="L8" s="19">
        <v>0.5</v>
      </c>
      <c r="M8" s="12">
        <f t="shared" si="0"/>
        <v>185000000</v>
      </c>
      <c r="N8" s="13" t="s">
        <v>40</v>
      </c>
      <c r="O8" s="25" t="s">
        <v>46</v>
      </c>
      <c r="Q8" s="24">
        <f t="shared" si="1"/>
        <v>185000000</v>
      </c>
    </row>
    <row r="9" spans="1:17" x14ac:dyDescent="0.3">
      <c r="F9" s="1"/>
    </row>
    <row r="11" spans="1:17" ht="28.2" customHeight="1" x14ac:dyDescent="0.3">
      <c r="A11" s="21" t="s">
        <v>31</v>
      </c>
      <c r="B11" s="21" t="s">
        <v>23</v>
      </c>
      <c r="C11" s="21" t="s">
        <v>30</v>
      </c>
      <c r="D11" s="21" t="s">
        <v>24</v>
      </c>
      <c r="E11" s="21" t="s">
        <v>25</v>
      </c>
      <c r="O11" s="22" t="s">
        <v>49</v>
      </c>
    </row>
    <row r="12" spans="1:17" x14ac:dyDescent="0.3">
      <c r="A12" s="6">
        <v>1</v>
      </c>
      <c r="B12" s="14" t="s">
        <v>0</v>
      </c>
      <c r="C12" s="7" t="s">
        <v>1</v>
      </c>
      <c r="D12" s="8">
        <v>2011</v>
      </c>
      <c r="E12" s="9" t="s">
        <v>2</v>
      </c>
      <c r="O12" s="13">
        <v>450</v>
      </c>
    </row>
    <row r="13" spans="1:17" x14ac:dyDescent="0.3">
      <c r="A13" s="6">
        <v>2</v>
      </c>
      <c r="B13" s="14" t="s">
        <v>3</v>
      </c>
      <c r="C13" s="14" t="s">
        <v>4</v>
      </c>
      <c r="D13" s="6">
        <v>2013</v>
      </c>
      <c r="E13" s="9" t="s">
        <v>5</v>
      </c>
      <c r="O13" s="13">
        <v>820</v>
      </c>
    </row>
    <row r="14" spans="1:17" x14ac:dyDescent="0.3">
      <c r="A14" s="6">
        <v>3</v>
      </c>
      <c r="B14" s="14" t="s">
        <v>6</v>
      </c>
      <c r="C14" s="14" t="s">
        <v>7</v>
      </c>
      <c r="D14" s="6">
        <v>2023</v>
      </c>
      <c r="E14" s="9" t="s">
        <v>8</v>
      </c>
      <c r="G14" s="2"/>
      <c r="H14" s="2"/>
      <c r="I14" s="2"/>
      <c r="J14" s="2"/>
      <c r="K14" s="2"/>
      <c r="O14" s="13">
        <v>460</v>
      </c>
    </row>
    <row r="15" spans="1:17" x14ac:dyDescent="0.3">
      <c r="A15" s="6">
        <v>4</v>
      </c>
      <c r="B15" s="14" t="s">
        <v>6</v>
      </c>
      <c r="C15" s="7" t="s">
        <v>9</v>
      </c>
      <c r="D15" s="6">
        <v>2023</v>
      </c>
      <c r="E15" s="9" t="s">
        <v>10</v>
      </c>
      <c r="G15" s="3"/>
      <c r="H15" s="3"/>
      <c r="I15" s="5"/>
      <c r="J15" s="5"/>
      <c r="M15" s="4"/>
      <c r="O15" s="13">
        <v>450</v>
      </c>
    </row>
    <row r="16" spans="1:17" x14ac:dyDescent="0.3">
      <c r="A16" s="6">
        <v>5</v>
      </c>
      <c r="B16" s="14" t="s">
        <v>11</v>
      </c>
      <c r="C16" s="7" t="s">
        <v>12</v>
      </c>
      <c r="D16" s="6">
        <v>2010</v>
      </c>
      <c r="E16" s="9" t="s">
        <v>13</v>
      </c>
      <c r="G16" s="3"/>
      <c r="H16" s="3"/>
      <c r="I16" s="5"/>
      <c r="J16" s="5"/>
      <c r="K16" s="4"/>
      <c r="M16" s="4"/>
      <c r="O16" s="13">
        <v>450</v>
      </c>
    </row>
    <row r="17" spans="1:15" x14ac:dyDescent="0.3">
      <c r="A17" s="6">
        <v>6</v>
      </c>
      <c r="B17" s="14" t="s">
        <v>14</v>
      </c>
      <c r="C17" s="7" t="s">
        <v>15</v>
      </c>
      <c r="D17" s="6">
        <v>2006</v>
      </c>
      <c r="E17" s="9" t="s">
        <v>16</v>
      </c>
      <c r="G17" s="3"/>
      <c r="H17" s="3"/>
      <c r="I17" s="5"/>
      <c r="J17" s="5"/>
      <c r="K17" s="4"/>
      <c r="M17" s="4"/>
      <c r="O17" s="13">
        <v>430</v>
      </c>
    </row>
    <row r="18" spans="1:15" x14ac:dyDescent="0.3">
      <c r="A18" s="6">
        <v>7</v>
      </c>
      <c r="B18" s="14" t="s">
        <v>32</v>
      </c>
      <c r="C18" s="7" t="s">
        <v>17</v>
      </c>
      <c r="D18" s="6">
        <v>2012</v>
      </c>
      <c r="E18" s="17" t="s">
        <v>18</v>
      </c>
      <c r="G18" s="3"/>
      <c r="H18" s="3"/>
      <c r="I18" s="5"/>
      <c r="J18" s="5"/>
      <c r="K18" s="4"/>
      <c r="M18" s="4"/>
      <c r="O18" s="13">
        <v>400</v>
      </c>
    </row>
    <row r="19" spans="1:15" x14ac:dyDescent="0.3">
      <c r="A19" s="3"/>
      <c r="B19" s="3"/>
      <c r="C19" s="3"/>
      <c r="D19" s="3"/>
      <c r="E19" s="4"/>
      <c r="G19" s="3"/>
      <c r="H19" s="3"/>
      <c r="I19" s="3"/>
      <c r="J19" s="5"/>
      <c r="K19" s="4"/>
      <c r="M19" s="4"/>
    </row>
    <row r="20" spans="1:15" x14ac:dyDescent="0.3">
      <c r="A20" s="3"/>
      <c r="B20" s="3"/>
      <c r="C20" s="3"/>
      <c r="D20" s="3"/>
      <c r="E20" s="4"/>
      <c r="G20" s="3"/>
      <c r="H20" s="3"/>
      <c r="I20" s="3"/>
      <c r="J20" s="5"/>
      <c r="K20" s="4"/>
      <c r="M20" s="4"/>
    </row>
    <row r="21" spans="1:15" x14ac:dyDescent="0.3">
      <c r="A21" s="3"/>
      <c r="B21" s="3"/>
      <c r="C21" s="3"/>
      <c r="D21" s="3"/>
      <c r="E21" s="4"/>
      <c r="G21" s="3"/>
      <c r="H21" s="3"/>
      <c r="I21" s="3"/>
      <c r="J21" s="5"/>
      <c r="K21" s="4"/>
      <c r="M21" s="4"/>
    </row>
  </sheetData>
  <hyperlinks>
    <hyperlink ref="E2" r:id="rId1" display="https://drive.google.com/drive/folders/1MtwALAl9agJVWKkHBaGV9tge9FaIdK1r?usp=drive_link" xr:uid="{E493A34A-DBF0-45A2-8904-07D095549AD3}"/>
    <hyperlink ref="E3" r:id="rId2" display="https://drive.google.com/drive/folders/1XGv9m8EA8qiBiNado0viqIgq-7dUyBxU?usp=drive_link" xr:uid="{D1542062-E82A-4630-A715-3A47F64ECB0A}"/>
    <hyperlink ref="E4" r:id="rId3" display="https://drive.google.com/drive/folders/14M-6P1kCqT5oiegjvNAfmataJJeFEDiF?usp=drive_link" xr:uid="{B94284EE-5542-46AD-BD93-3294E2DFE52D}"/>
    <hyperlink ref="E5" r:id="rId4" display="https://drive.google.com/drive/folders/1EgaUvrLjtKnLlMtdqM_XuXLxZ_L34gT-?usp=drive_link" xr:uid="{A86C3E29-7425-4320-8227-2DBADB806CF5}"/>
    <hyperlink ref="E6" r:id="rId5" display="https://drive.google.com/drive/folders/1ZU-QFcT61CL0BxRpczKJPqGGY5iduDCp?usp=drive_link" xr:uid="{8927A84F-43A1-4A2F-B240-96CB4B7228AB}"/>
    <hyperlink ref="E7" r:id="rId6" display="https://drive.google.com/drive/folders/1aaS0dQoEjkdj7E7KQDsuPBvNaPbTfhln?usp=drive_link" xr:uid="{FC5C32E5-2DD8-4697-A6AB-8398A7F7DD53}"/>
    <hyperlink ref="E8" r:id="rId7" display="https://drive.google.com/drive/folders/1VEckYRAGroY1r3ZnXHsB0N9u2O8sDPXd?usp=drive_link" xr:uid="{31DA2760-1357-4ED2-A3B8-52CC27E7B43C}"/>
    <hyperlink ref="C7" r:id="rId8" display="https://drive.google.com/drive/folders/1LSEWT19YXgC9nGsNIIa7bFsl4MXmybws?usp=drive_link" xr:uid="{32B4C23A-EE94-4977-82C0-C4E8F66D3120}"/>
    <hyperlink ref="C6" r:id="rId9" display="https://drive.google.com/drive/folders/1S9Ib9iQnwwVZaCMw1UkMmKoKRy6vHtYg?usp=drive_link" xr:uid="{0C4560EE-D04A-4561-8AA0-C272D69C2F62}"/>
    <hyperlink ref="C8" r:id="rId10" display="https://drive.google.com/drive/folders/14c5-9Lafak28kPxxrMMocbf-phLIPRcU?usp=sharing" xr:uid="{102B4674-0E78-4986-B5EE-F0E66E4037AF}"/>
    <hyperlink ref="C5" r:id="rId11" display="https://drive.google.com/drive/folders/1EgaUvrLjtKnLlMtdqM_XuXLxZ_L34gT-?usp=drive_link" xr:uid="{39B2087D-1BA3-4149-BCA9-55D60EACBF43}"/>
    <hyperlink ref="C2" r:id="rId12" display="https://drive.google.com/drive/folders/1fxr-pLbynlTk6fbtM9sm_uvnci52ptsJ?usp=drive_link" xr:uid="{1006A7A1-401C-44E0-967B-F7F9534F1D9E}"/>
    <hyperlink ref="E12" r:id="rId13" display="https://drive.google.com/drive/folders/1MtwALAl9agJVWKkHBaGV9tge9FaIdK1r?usp=drive_link" xr:uid="{1BB91245-E319-477C-93FD-610FF1949255}"/>
    <hyperlink ref="E13" r:id="rId14" display="https://drive.google.com/drive/folders/1XGv9m8EA8qiBiNado0viqIgq-7dUyBxU?usp=drive_link" xr:uid="{64226FBE-E74B-4559-AA52-8D9E1650BA6E}"/>
    <hyperlink ref="E14" r:id="rId15" display="https://drive.google.com/drive/folders/14M-6P1kCqT5oiegjvNAfmataJJeFEDiF?usp=drive_link" xr:uid="{35F84AA9-B7CA-4FFF-A6E5-BA04E14CEC2A}"/>
    <hyperlink ref="E15" r:id="rId16" display="https://drive.google.com/drive/folders/1EgaUvrLjtKnLlMtdqM_XuXLxZ_L34gT-?usp=drive_link" xr:uid="{DAA0F377-DD12-406B-BC69-6955FA7CDED7}"/>
    <hyperlink ref="E16" r:id="rId17" display="https://drive.google.com/drive/folders/1ZU-QFcT61CL0BxRpczKJPqGGY5iduDCp?usp=drive_link" xr:uid="{E0DAA52C-6AFB-441C-AA03-8DA7F2385CE6}"/>
    <hyperlink ref="E17" r:id="rId18" display="https://drive.google.com/drive/folders/1aaS0dQoEjkdj7E7KQDsuPBvNaPbTfhln?usp=drive_link" xr:uid="{38081AB2-6334-41C6-9A80-DCBDAC5EB399}"/>
    <hyperlink ref="E18" r:id="rId19" display="https://drive.google.com/drive/folders/1VEckYRAGroY1r3ZnXHsB0N9u2O8sDPXd?usp=drive_link" xr:uid="{BCFFE1AA-30BC-40F5-8E42-2132DEB8A1C4}"/>
    <hyperlink ref="C17" r:id="rId20" display="https://drive.google.com/drive/folders/1LSEWT19YXgC9nGsNIIa7bFsl4MXmybws?usp=drive_link" xr:uid="{C1C87460-05AC-4519-AB2F-1806C42941F6}"/>
    <hyperlink ref="C16" r:id="rId21" display="https://drive.google.com/drive/folders/1S9Ib9iQnwwVZaCMw1UkMmKoKRy6vHtYg?usp=drive_link" xr:uid="{6FAD1ABA-64D2-41E0-A625-A59671163C05}"/>
    <hyperlink ref="C18" r:id="rId22" display="https://drive.google.com/drive/folders/14c5-9Lafak28kPxxrMMocbf-phLIPRcU?usp=sharing" xr:uid="{A2D95ABD-197E-4D70-BBDF-5A5CE146F6C8}"/>
    <hyperlink ref="C15" r:id="rId23" display="https://drive.google.com/drive/folders/1EgaUvrLjtKnLlMtdqM_XuXLxZ_L34gT-?usp=drive_link" xr:uid="{FDD2B2F5-6D34-41E3-9E95-E7FE5D1D252A}"/>
    <hyperlink ref="C12" r:id="rId24" display="https://drive.google.com/drive/folders/1fxr-pLbynlTk6fbtM9sm_uvnci52ptsJ?usp=drive_link" xr:uid="{6A5FE274-56A2-4DA4-BD22-F9B5CEC5098E}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M-SI</dc:creator>
  <cp:lastModifiedBy>M-SI</cp:lastModifiedBy>
  <dcterms:created xsi:type="dcterms:W3CDTF">2026-03-10T21:47:26Z</dcterms:created>
  <dcterms:modified xsi:type="dcterms:W3CDTF">2026-03-15T14:05:47Z</dcterms:modified>
</cp:coreProperties>
</file>