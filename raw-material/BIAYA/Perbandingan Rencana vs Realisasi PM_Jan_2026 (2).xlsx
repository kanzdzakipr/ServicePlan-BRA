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RD DURI\01. REPAIR &amp; MAINTENANCE\PM SERVICE &amp; WEEKLY MAINTENANCE\SERVICE BERKALA\2026\JANUARI\"/>
    </mc:Choice>
  </mc:AlternateContent>
  <xr:revisionPtr revIDLastSave="0" documentId="13_ncr:1_{E6E010C1-A6AC-4C6B-98A4-742A7DDE295B}" xr6:coauthVersionLast="47" xr6:coauthVersionMax="47" xr10:uidLastSave="{00000000-0000-0000-0000-000000000000}"/>
  <bookViews>
    <workbookView xWindow="-120" yWindow="-120" windowWidth="20730" windowHeight="11160" xr2:uid="{D8B21234-3ED0-4618-9510-D5528F0EF964}"/>
  </bookViews>
  <sheets>
    <sheet name="Compare Renc vs Realisasi" sheetId="1" r:id="rId1"/>
  </sheets>
  <definedNames>
    <definedName name="_xlnm.Print_Area" localSheetId="0">'Compare Renc vs Realisasi'!$C$5:$R$40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P41" i="1"/>
  <c r="Q41" i="1" s="1"/>
  <c r="R41" i="1" s="1"/>
  <c r="P33" i="1"/>
  <c r="Q33" i="1" s="1"/>
  <c r="R33" i="1" s="1"/>
  <c r="P32" i="1"/>
  <c r="Q32" i="1" s="1"/>
  <c r="R32" i="1" s="1"/>
  <c r="P31" i="1"/>
  <c r="Q31" i="1" s="1"/>
  <c r="R31" i="1" s="1"/>
  <c r="P30" i="1"/>
  <c r="Q30" i="1" s="1"/>
  <c r="R30" i="1" s="1"/>
  <c r="P29" i="1"/>
  <c r="Q29" i="1" s="1"/>
  <c r="R29" i="1" s="1"/>
  <c r="P28" i="1"/>
  <c r="Q28" i="1" s="1"/>
  <c r="R28" i="1" s="1"/>
  <c r="P27" i="1"/>
  <c r="Q27" i="1" s="1"/>
  <c r="R27" i="1" s="1"/>
  <c r="P26" i="1"/>
  <c r="Q25" i="1"/>
  <c r="R25" i="1" s="1"/>
  <c r="P25" i="1"/>
  <c r="C25" i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Q24" i="1"/>
  <c r="R24" i="1" s="1"/>
  <c r="P24" i="1"/>
  <c r="Q21" i="1"/>
  <c r="R21" i="1" s="1"/>
  <c r="Q20" i="1"/>
  <c r="R20" i="1" s="1"/>
  <c r="R19" i="1"/>
  <c r="Q19" i="1"/>
  <c r="Q18" i="1"/>
  <c r="R18" i="1" s="1"/>
  <c r="P18" i="1"/>
  <c r="Q17" i="1"/>
  <c r="R17" i="1" s="1"/>
  <c r="P17" i="1"/>
  <c r="R15" i="1"/>
  <c r="Q15" i="1"/>
  <c r="P15" i="1"/>
  <c r="P14" i="1"/>
  <c r="P13" i="1"/>
  <c r="Q13" i="1" s="1"/>
  <c r="R13" i="1" s="1"/>
  <c r="C13" i="1"/>
  <c r="C14" i="1" s="1"/>
  <c r="C15" i="1" s="1"/>
  <c r="C16" i="1" s="1"/>
  <c r="C17" i="1" s="1"/>
  <c r="C18" i="1" s="1"/>
  <c r="C19" i="1" s="1"/>
  <c r="C20" i="1" s="1"/>
  <c r="C21" i="1" s="1"/>
  <c r="P12" i="1"/>
  <c r="Q12" i="1" s="1"/>
  <c r="R12" i="1" s="1"/>
  <c r="F47" i="1" l="1"/>
  <c r="F49" i="1" s="1"/>
</calcChain>
</file>

<file path=xl/sharedStrings.xml><?xml version="1.0" encoding="utf-8"?>
<sst xmlns="http://schemas.openxmlformats.org/spreadsheetml/2006/main" count="277" uniqueCount="164">
  <si>
    <r>
      <t xml:space="preserve">IKHTISAR </t>
    </r>
    <r>
      <rPr>
        <sz val="12"/>
        <color theme="1"/>
        <rFont val="Calibri"/>
        <family val="2"/>
        <scheme val="minor"/>
      </rPr>
      <t>PM SERVICE JANUARI 2026</t>
    </r>
  </si>
  <si>
    <t>III.</t>
  </si>
  <si>
    <t>RENCANA PM SERVICE BULAN JANUARI 2026</t>
  </si>
  <si>
    <t>NO.</t>
  </si>
  <si>
    <t>Kode Unit</t>
  </si>
  <si>
    <t>ID WUR-EW</t>
  </si>
  <si>
    <t>Nama Asset</t>
  </si>
  <si>
    <t>SN/ Pelat Kendaraan</t>
  </si>
  <si>
    <t>YEAR</t>
  </si>
  <si>
    <t>PROJECT</t>
  </si>
  <si>
    <t>STATUS WARRANTY</t>
  </si>
  <si>
    <t>Tracking HM/KM Terkini</t>
  </si>
  <si>
    <t>INTERVAL</t>
  </si>
  <si>
    <t>Servis Berkala Terakhir</t>
  </si>
  <si>
    <t>Tanggal Servis Terakhir</t>
  </si>
  <si>
    <t>HM / KM Rencana Service</t>
  </si>
  <si>
    <t>Kurang / Lebih Jatuh Tempo</t>
  </si>
  <si>
    <t>% dari interval</t>
  </si>
  <si>
    <t>Keterangan</t>
  </si>
  <si>
    <t>REALIASI TGL. 21 Des. 2025  S.D. SEKARANG</t>
  </si>
  <si>
    <t>HM/KM</t>
  </si>
  <si>
    <t>TANGGAL</t>
  </si>
  <si>
    <t>ID BRA</t>
  </si>
  <si>
    <t>ID PROJECT</t>
  </si>
  <si>
    <t>TANGGAL PM</t>
  </si>
  <si>
    <t>RENCANA SERVICE AKHIR DESEMBER 2025</t>
  </si>
  <si>
    <t>PF 05</t>
  </si>
  <si>
    <t>PF-00001</t>
  </si>
  <si>
    <t>Vibro Bomag Pad Foot Compactor BW 211D-40SL</t>
  </si>
  <si>
    <t>961582391717</t>
  </si>
  <si>
    <t>Voucher Parts UT</t>
  </si>
  <si>
    <t>WUR EW</t>
  </si>
  <si>
    <t>HENDI</t>
  </si>
  <si>
    <t>SD 05</t>
  </si>
  <si>
    <t>SD-00004</t>
  </si>
  <si>
    <t>Vibro Bomag Smooth Drum Compactor BW 211D-40SL</t>
  </si>
  <si>
    <t>961884301945</t>
  </si>
  <si>
    <t>Warranty - 3000</t>
  </si>
  <si>
    <t>ISMAIL</t>
  </si>
  <si>
    <t>Dozer 04</t>
  </si>
  <si>
    <t>DZ-00005</t>
  </si>
  <si>
    <t>Bulldozer Komatsu D85ESS-2</t>
  </si>
  <si>
    <t>J16298</t>
  </si>
  <si>
    <t>HM ERROR</t>
  </si>
  <si>
    <t>Exca 01</t>
  </si>
  <si>
    <t>EXC-00008</t>
  </si>
  <si>
    <t>Excavator Komatsu PC210-10M0</t>
  </si>
  <si>
    <t xml:space="preserve"> C01531</t>
  </si>
  <si>
    <t>Warranty - 10000</t>
  </si>
  <si>
    <t>C01531</t>
  </si>
  <si>
    <t>Mohammad Hutapea</t>
  </si>
  <si>
    <t>Exca 16</t>
  </si>
  <si>
    <t>HE.6.004</t>
  </si>
  <si>
    <t>Excavator Caterpillar 305.5E2</t>
  </si>
  <si>
    <t>WE217079</t>
  </si>
  <si>
    <t>IN2</t>
  </si>
  <si>
    <t>DT-00060</t>
  </si>
  <si>
    <t xml:space="preserve">Dump Truck HINO RANGER-FM 260 JD </t>
  </si>
  <si>
    <t>BG 8230 MX</t>
  </si>
  <si>
    <t>Dump Truck HINO RANGER-FM 260 JD</t>
  </si>
  <si>
    <t>WUR EW/BDL</t>
  </si>
  <si>
    <t>Waswadi S</t>
  </si>
  <si>
    <t>FT 01</t>
  </si>
  <si>
    <t>FT-00001</t>
  </si>
  <si>
    <t>FUEL TANK 8000L</t>
  </si>
  <si>
    <t>BA 9016 QU</t>
  </si>
  <si>
    <t>FUEL TANK TRUCK MITSUBISHI FE74HD 8000 LTR</t>
  </si>
  <si>
    <t>GR 5</t>
  </si>
  <si>
    <t>MG-00004</t>
  </si>
  <si>
    <t>MOTOR GRADER XMCG GR135 MAX</t>
  </si>
  <si>
    <t>PRDB00108</t>
  </si>
  <si>
    <t>Tidak warranty</t>
  </si>
  <si>
    <t>MG-41001</t>
  </si>
  <si>
    <t>RWI</t>
  </si>
  <si>
    <t>A. JUNI H</t>
  </si>
  <si>
    <t>Exca 21</t>
  </si>
  <si>
    <t>EXC-00003</t>
  </si>
  <si>
    <t>Excavator Komatsu PC200-10M0 CE</t>
  </si>
  <si>
    <t>C51503</t>
  </si>
  <si>
    <t>Exca 13</t>
  </si>
  <si>
    <t>EXC-00004</t>
  </si>
  <si>
    <t>DBCH0366</t>
  </si>
  <si>
    <t>Warranty - 4000</t>
  </si>
  <si>
    <t>HERMAN</t>
  </si>
  <si>
    <t>RENCANA SERVICE JANUARI 2026</t>
  </si>
  <si>
    <t>SD 02</t>
  </si>
  <si>
    <t>SD-00001</t>
  </si>
  <si>
    <t>No Warranty</t>
  </si>
  <si>
    <t>ALFIAN</t>
  </si>
  <si>
    <t>Exca 06</t>
  </si>
  <si>
    <t>EXC-00005</t>
  </si>
  <si>
    <t xml:space="preserve">Excavator Caterpillar 320 GX </t>
  </si>
  <si>
    <t>SYW01364</t>
  </si>
  <si>
    <t xml:space="preserve">WUR EW </t>
  </si>
  <si>
    <t>Excavator Caterpillar 320 GX</t>
  </si>
  <si>
    <t>ABDUL KARIM</t>
  </si>
  <si>
    <t>STANBY KM 12</t>
  </si>
  <si>
    <t>Dozer 10</t>
  </si>
  <si>
    <t>DZ-00004</t>
  </si>
  <si>
    <t>Bulldozer Zoomlion</t>
  </si>
  <si>
    <t>ZLHZD1116HR1B05388</t>
  </si>
  <si>
    <t>Warranty</t>
  </si>
  <si>
    <t>SW 02 (ABDUL)</t>
  </si>
  <si>
    <t>DT-00031</t>
  </si>
  <si>
    <t>BG 8535 OW</t>
  </si>
  <si>
    <t>DT 034</t>
  </si>
  <si>
    <t>DT-00037</t>
  </si>
  <si>
    <t xml:space="preserve">Dump Truck HINO RANGER-FM 280 JD </t>
  </si>
  <si>
    <t>B 9078 ZYT</t>
  </si>
  <si>
    <t>DT 043</t>
  </si>
  <si>
    <t>DT-00046</t>
  </si>
  <si>
    <t>Dump Truck HINO RANGER-FM 280 JD</t>
  </si>
  <si>
    <t>B 9094 ZYT</t>
  </si>
  <si>
    <t>Ria Irawan</t>
  </si>
  <si>
    <t xml:space="preserve">DT 010 </t>
  </si>
  <si>
    <t>DT-00047</t>
  </si>
  <si>
    <t>B 9116 PYX /B9102ZYT</t>
  </si>
  <si>
    <t>DT 015</t>
  </si>
  <si>
    <t>DT-00056</t>
  </si>
  <si>
    <t>B 9892 PYW</t>
  </si>
  <si>
    <t>DT 001</t>
  </si>
  <si>
    <t>DT-00071</t>
  </si>
  <si>
    <t>DT 9884 JE / DT8126JE</t>
  </si>
  <si>
    <t>DT 099</t>
  </si>
  <si>
    <t>DT-41001 / DT-04047</t>
  </si>
  <si>
    <t>Dump Truck HINO FM8JN2D-XGJ</t>
  </si>
  <si>
    <t>BM9291JO</t>
  </si>
  <si>
    <t>Service sebelum N/A</t>
  </si>
  <si>
    <t>DT 102</t>
  </si>
  <si>
    <t>DT-41002 / DT-04050</t>
  </si>
  <si>
    <t>BM9503QO</t>
  </si>
  <si>
    <t>DT 103</t>
  </si>
  <si>
    <t>DT-04024</t>
  </si>
  <si>
    <t>BM9285JO</t>
  </si>
  <si>
    <t>ROMI EFENDI</t>
  </si>
  <si>
    <t>DT 106</t>
  </si>
  <si>
    <t>DT-41003 / DT-04033</t>
  </si>
  <si>
    <t>BM9956JO</t>
  </si>
  <si>
    <t>DT 107</t>
  </si>
  <si>
    <t>DT-04048</t>
  </si>
  <si>
    <t>BM9951JO</t>
  </si>
  <si>
    <t>DT 095</t>
  </si>
  <si>
    <t>DT-41004 / DT-04023</t>
  </si>
  <si>
    <t>BM9289JO</t>
  </si>
  <si>
    <t>DT 105</t>
  </si>
  <si>
    <t>DT-41005 / DT-04051</t>
  </si>
  <si>
    <t>BM9678JO</t>
  </si>
  <si>
    <t>MB-01</t>
  </si>
  <si>
    <t>MB-00006</t>
  </si>
  <si>
    <t>MEDIUM BUS ISUZU NLR85-U</t>
  </si>
  <si>
    <t>BM7680TU</t>
  </si>
  <si>
    <t>DT 097</t>
  </si>
  <si>
    <t>DT-04032</t>
  </si>
  <si>
    <t>BM9682JO</t>
  </si>
  <si>
    <t>DT 094</t>
  </si>
  <si>
    <t>DT-04027 / DT 04053</t>
  </si>
  <si>
    <t>BM9824QO</t>
  </si>
  <si>
    <t>DT 090</t>
  </si>
  <si>
    <t>DT-04029</t>
  </si>
  <si>
    <t>BM9819QO</t>
  </si>
  <si>
    <t>KETERANGAN :</t>
  </si>
  <si>
    <t>JUMLAH UNIT RENCANA</t>
  </si>
  <si>
    <t>JUMLAH REALISASI</t>
  </si>
  <si>
    <t xml:space="preserve">Ketercapaian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</si>
</sst>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&quot;-&quot;mmm&quot;-&quot;yyyy"/>
    <numFmt numFmtId="166" formatCode="#,##0.0"/>
    <numFmt numFmtId="167" formatCode="d\-mmm\-yyyy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2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1"/>
      <name val="Calibri"/>
      <family val="2"/>
      <charset val="1"/>
      <scheme val="minor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  <scheme val="minor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1D1B10"/>
      <name val="Arial"/>
      <family val="2"/>
      <charset val="1"/>
    </font>
    <font>
      <sz val="10"/>
      <color rgb="FFFFFFFF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 style="medium">
        <color rgb="FF00B0F0"/>
      </top>
      <bottom/>
      <diagonal/>
    </border>
    <border>
      <left/>
      <right/>
      <top style="medium">
        <color rgb="FF00B0F0"/>
      </top>
      <bottom style="thin">
        <color indexed="64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rgb="FF000000"/>
      </right>
      <top style="dotted">
        <color auto="1"/>
      </top>
      <bottom style="dotted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5" fillId="0" borderId="0"/>
  </cellStyleXfs>
  <cellXfs count="182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/>
    <xf numFmtId="164" fontId="13" fillId="0" borderId="0" xfId="0" applyNumberFormat="1" applyFont="1" applyAlignment="1">
      <alignment horizontal="right" vertical="center"/>
    </xf>
    <xf numFmtId="9" fontId="13" fillId="0" borderId="0" xfId="1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0" xfId="0" applyFont="1" applyFill="1"/>
    <xf numFmtId="0" fontId="7" fillId="0" borderId="0" xfId="0" applyFont="1" applyAlignment="1">
      <alignment horizontal="center"/>
    </xf>
    <xf numFmtId="0" fontId="13" fillId="0" borderId="0" xfId="0" applyFont="1"/>
    <xf numFmtId="0" fontId="14" fillId="8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15" fontId="15" fillId="9" borderId="0" xfId="0" applyNumberFormat="1" applyFont="1" applyFill="1" applyAlignment="1">
      <alignment horizontal="right"/>
    </xf>
    <xf numFmtId="4" fontId="14" fillId="8" borderId="0" xfId="0" applyNumberFormat="1" applyFont="1" applyFill="1" applyAlignment="1">
      <alignment horizontal="right"/>
    </xf>
    <xf numFmtId="15" fontId="14" fillId="8" borderId="0" xfId="0" applyNumberFormat="1" applyFont="1" applyFill="1" applyAlignment="1">
      <alignment horizontal="center"/>
    </xf>
    <xf numFmtId="4" fontId="7" fillId="0" borderId="4" xfId="0" applyNumberFormat="1" applyFont="1" applyBorder="1" applyAlignment="1">
      <alignment horizontal="right"/>
    </xf>
    <xf numFmtId="15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9" fontId="13" fillId="0" borderId="5" xfId="0" applyNumberFormat="1" applyFont="1" applyBorder="1" applyAlignment="1">
      <alignment horizontal="right"/>
    </xf>
    <xf numFmtId="0" fontId="10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5" fillId="0" borderId="6" xfId="0" quotePrefix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/>
    </xf>
    <xf numFmtId="0" fontId="12" fillId="0" borderId="6" xfId="0" applyFont="1" applyBorder="1"/>
    <xf numFmtId="165" fontId="17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vertical="center"/>
    </xf>
    <xf numFmtId="166" fontId="14" fillId="10" borderId="6" xfId="0" applyNumberFormat="1" applyFont="1" applyFill="1" applyBorder="1" applyAlignment="1">
      <alignment horizontal="right"/>
    </xf>
    <xf numFmtId="165" fontId="14" fillId="10" borderId="6" xfId="0" applyNumberFormat="1" applyFont="1" applyFill="1" applyBorder="1" applyAlignment="1">
      <alignment horizontal="center"/>
    </xf>
    <xf numFmtId="164" fontId="12" fillId="0" borderId="6" xfId="0" applyNumberFormat="1" applyFont="1" applyBorder="1" applyAlignment="1">
      <alignment vertical="center"/>
    </xf>
    <xf numFmtId="164" fontId="13" fillId="0" borderId="6" xfId="0" applyNumberFormat="1" applyFont="1" applyBorder="1" applyAlignment="1">
      <alignment horizontal="right" vertical="center"/>
    </xf>
    <xf numFmtId="9" fontId="13" fillId="0" borderId="6" xfId="1" applyFont="1" applyBorder="1" applyAlignment="1">
      <alignment horizontal="right" vertical="center"/>
    </xf>
    <xf numFmtId="0" fontId="0" fillId="0" borderId="6" xfId="0" applyBorder="1"/>
    <xf numFmtId="0" fontId="0" fillId="9" borderId="6" xfId="0" applyFill="1" applyBorder="1"/>
    <xf numFmtId="0" fontId="14" fillId="0" borderId="6" xfId="0" applyFont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6" xfId="0" applyFont="1" applyFill="1" applyBorder="1"/>
    <xf numFmtId="0" fontId="13" fillId="0" borderId="6" xfId="0" applyFont="1" applyBorder="1"/>
    <xf numFmtId="0" fontId="7" fillId="0" borderId="6" xfId="0" applyFont="1" applyBorder="1" applyAlignment="1">
      <alignment horizontal="right"/>
    </xf>
    <xf numFmtId="15" fontId="15" fillId="9" borderId="6" xfId="0" applyNumberFormat="1" applyFont="1" applyFill="1" applyBorder="1" applyAlignment="1">
      <alignment horizontal="right"/>
    </xf>
    <xf numFmtId="4" fontId="14" fillId="8" borderId="6" xfId="0" applyNumberFormat="1" applyFont="1" applyFill="1" applyBorder="1" applyAlignment="1">
      <alignment horizontal="right"/>
    </xf>
    <xf numFmtId="15" fontId="14" fillId="8" borderId="6" xfId="0" applyNumberFormat="1" applyFont="1" applyFill="1" applyBorder="1" applyAlignment="1">
      <alignment horizontal="center"/>
    </xf>
    <xf numFmtId="4" fontId="7" fillId="0" borderId="7" xfId="0" applyNumberFormat="1" applyFont="1" applyBorder="1" applyAlignment="1">
      <alignment horizontal="right"/>
    </xf>
    <xf numFmtId="15" fontId="13" fillId="0" borderId="7" xfId="0" applyNumberFormat="1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9" fontId="13" fillId="0" borderId="7" xfId="0" applyNumberFormat="1" applyFont="1" applyBorder="1" applyAlignment="1">
      <alignment horizontal="right"/>
    </xf>
    <xf numFmtId="0" fontId="0" fillId="0" borderId="6" xfId="0" quotePrefix="1" applyBorder="1" applyAlignment="1">
      <alignment horizontal="center"/>
    </xf>
    <xf numFmtId="165" fontId="12" fillId="0" borderId="6" xfId="0" applyNumberFormat="1" applyFont="1" applyBorder="1"/>
    <xf numFmtId="15" fontId="7" fillId="0" borderId="6" xfId="0" applyNumberFormat="1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15" fontId="13" fillId="0" borderId="8" xfId="0" applyNumberFormat="1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9" fontId="13" fillId="0" borderId="8" xfId="0" applyNumberFormat="1" applyFont="1" applyBorder="1" applyAlignment="1">
      <alignment horizontal="right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0" fillId="0" borderId="6" xfId="0" applyBorder="1" applyAlignment="1">
      <alignment horizontal="center"/>
    </xf>
    <xf numFmtId="164" fontId="12" fillId="0" borderId="6" xfId="0" applyNumberFormat="1" applyFont="1" applyBorder="1"/>
    <xf numFmtId="165" fontId="18" fillId="0" borderId="6" xfId="0" applyNumberFormat="1" applyFont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" fontId="7" fillId="0" borderId="9" xfId="0" applyNumberFormat="1" applyFont="1" applyBorder="1" applyAlignment="1">
      <alignment horizontal="right"/>
    </xf>
    <xf numFmtId="15" fontId="13" fillId="0" borderId="9" xfId="0" applyNumberFormat="1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9" fontId="13" fillId="0" borderId="9" xfId="0" applyNumberFormat="1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6" xfId="0" applyNumberFormat="1" applyFont="1" applyBorder="1"/>
    <xf numFmtId="0" fontId="13" fillId="0" borderId="6" xfId="0" applyFont="1" applyBorder="1" applyAlignment="1">
      <alignment horizontal="right"/>
    </xf>
    <xf numFmtId="15" fontId="20" fillId="11" borderId="6" xfId="0" applyNumberFormat="1" applyFont="1" applyFill="1" applyBorder="1" applyAlignment="1">
      <alignment horizontal="right"/>
    </xf>
    <xf numFmtId="15" fontId="13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10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/>
    </xf>
    <xf numFmtId="15" fontId="15" fillId="12" borderId="6" xfId="0" applyNumberFormat="1" applyFont="1" applyFill="1" applyBorder="1" applyAlignment="1">
      <alignment horizontal="right"/>
    </xf>
    <xf numFmtId="0" fontId="14" fillId="10" borderId="6" xfId="0" applyFont="1" applyFill="1" applyBorder="1" applyAlignment="1">
      <alignment horizontal="center"/>
    </xf>
    <xf numFmtId="165" fontId="17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1" fontId="14" fillId="10" borderId="0" xfId="0" applyNumberFormat="1" applyFont="1" applyFill="1" applyAlignment="1">
      <alignment horizontal="center"/>
    </xf>
    <xf numFmtId="165" fontId="17" fillId="0" borderId="0" xfId="0" applyNumberFormat="1" applyFont="1" applyAlignment="1">
      <alignment horizontal="center"/>
    </xf>
    <xf numFmtId="165" fontId="12" fillId="0" borderId="0" xfId="0" applyNumberFormat="1" applyFont="1"/>
    <xf numFmtId="164" fontId="12" fillId="0" borderId="0" xfId="0" applyNumberFormat="1" applyFont="1" applyAlignment="1">
      <alignment vertical="center"/>
    </xf>
    <xf numFmtId="9" fontId="13" fillId="0" borderId="10" xfId="1" applyFont="1" applyBorder="1" applyAlignment="1">
      <alignment horizontal="right" vertical="center"/>
    </xf>
    <xf numFmtId="0" fontId="0" fillId="9" borderId="0" xfId="0" applyFill="1"/>
    <xf numFmtId="9" fontId="13" fillId="0" borderId="11" xfId="1" applyFont="1" applyBorder="1" applyAlignment="1">
      <alignment horizontal="right" vertical="center"/>
    </xf>
    <xf numFmtId="0" fontId="21" fillId="0" borderId="6" xfId="0" applyFont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22" fillId="0" borderId="6" xfId="0" applyFont="1" applyBorder="1"/>
    <xf numFmtId="1" fontId="19" fillId="10" borderId="6" xfId="0" applyNumberFormat="1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1" fillId="0" borderId="6" xfId="0" applyFont="1" applyBorder="1"/>
    <xf numFmtId="15" fontId="23" fillId="9" borderId="6" xfId="0" applyNumberFormat="1" applyFont="1" applyFill="1" applyBorder="1" applyAlignment="1">
      <alignment horizontal="center"/>
    </xf>
    <xf numFmtId="0" fontId="24" fillId="0" borderId="6" xfId="0" applyFont="1" applyBorder="1" applyAlignment="1">
      <alignment vertical="center"/>
    </xf>
    <xf numFmtId="0" fontId="26" fillId="0" borderId="6" xfId="2" applyFont="1" applyBorder="1" applyAlignment="1">
      <alignment horizontal="right"/>
    </xf>
    <xf numFmtId="167" fontId="26" fillId="0" borderId="6" xfId="2" applyNumberFormat="1" applyFont="1" applyBorder="1" applyAlignment="1">
      <alignment horizontal="right"/>
    </xf>
    <xf numFmtId="164" fontId="24" fillId="0" borderId="6" xfId="0" applyNumberFormat="1" applyFont="1" applyBorder="1" applyAlignment="1">
      <alignment vertical="center"/>
    </xf>
    <xf numFmtId="164" fontId="23" fillId="0" borderId="6" xfId="0" applyNumberFormat="1" applyFont="1" applyBorder="1" applyAlignment="1">
      <alignment horizontal="right" vertical="center"/>
    </xf>
    <xf numFmtId="9" fontId="23" fillId="0" borderId="6" xfId="1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65" fontId="27" fillId="0" borderId="6" xfId="0" applyNumberFormat="1" applyFont="1" applyBorder="1" applyAlignment="1">
      <alignment horizontal="center" vertical="center"/>
    </xf>
    <xf numFmtId="165" fontId="24" fillId="0" borderId="6" xfId="0" applyNumberFormat="1" applyFont="1" applyBorder="1" applyAlignment="1">
      <alignment vertical="center"/>
    </xf>
    <xf numFmtId="14" fontId="7" fillId="0" borderId="6" xfId="0" applyNumberFormat="1" applyFont="1" applyBorder="1" applyAlignment="1">
      <alignment horizontal="right"/>
    </xf>
    <xf numFmtId="1" fontId="19" fillId="10" borderId="6" xfId="0" applyNumberFormat="1" applyFont="1" applyFill="1" applyBorder="1" applyAlignment="1">
      <alignment horizontal="center" vertical="center"/>
    </xf>
    <xf numFmtId="9" fontId="13" fillId="0" borderId="6" xfId="1" applyFont="1" applyBorder="1" applyAlignment="1">
      <alignment horizontal="center" vertical="center"/>
    </xf>
    <xf numFmtId="0" fontId="22" fillId="8" borderId="6" xfId="0" applyFont="1" applyFill="1" applyBorder="1" applyAlignment="1">
      <alignment horizontal="center" wrapText="1"/>
    </xf>
    <xf numFmtId="0" fontId="22" fillId="0" borderId="6" xfId="0" applyFont="1" applyBorder="1" applyAlignment="1">
      <alignment wrapText="1"/>
    </xf>
    <xf numFmtId="0" fontId="19" fillId="0" borderId="6" xfId="0" applyFont="1" applyBorder="1" applyAlignment="1">
      <alignment horizontal="center" wrapText="1"/>
    </xf>
    <xf numFmtId="0" fontId="22" fillId="0" borderId="6" xfId="0" applyFont="1" applyBorder="1" applyAlignment="1">
      <alignment horizontal="right" wrapText="1"/>
    </xf>
    <xf numFmtId="15" fontId="23" fillId="9" borderId="6" xfId="0" applyNumberFormat="1" applyFont="1" applyFill="1" applyBorder="1" applyAlignment="1">
      <alignment horizontal="right" wrapText="1"/>
    </xf>
    <xf numFmtId="15" fontId="22" fillId="0" borderId="6" xfId="0" applyNumberFormat="1" applyFont="1" applyBorder="1" applyAlignment="1">
      <alignment horizontal="right" wrapText="1"/>
    </xf>
    <xf numFmtId="0" fontId="22" fillId="8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right" vertical="center" wrapText="1"/>
    </xf>
    <xf numFmtId="15" fontId="23" fillId="9" borderId="6" xfId="0" applyNumberFormat="1" applyFont="1" applyFill="1" applyBorder="1" applyAlignment="1">
      <alignment horizontal="right" vertical="center" wrapText="1"/>
    </xf>
    <xf numFmtId="15" fontId="23" fillId="0" borderId="6" xfId="0" applyNumberFormat="1" applyFont="1" applyBorder="1" applyAlignment="1">
      <alignment horizontal="right" vertical="center" wrapText="1"/>
    </xf>
    <xf numFmtId="0" fontId="28" fillId="10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right" vertical="center"/>
    </xf>
    <xf numFmtId="165" fontId="23" fillId="0" borderId="6" xfId="0" applyNumberFormat="1" applyFont="1" applyBorder="1" applyAlignment="1">
      <alignment horizontal="center" vertical="center"/>
    </xf>
    <xf numFmtId="164" fontId="30" fillId="0" borderId="6" xfId="0" applyNumberFormat="1" applyFont="1" applyBorder="1" applyAlignment="1">
      <alignment horizontal="right" vertical="center"/>
    </xf>
    <xf numFmtId="0" fontId="23" fillId="0" borderId="6" xfId="0" applyFont="1" applyBorder="1" applyAlignment="1">
      <alignment vertical="center"/>
    </xf>
    <xf numFmtId="165" fontId="23" fillId="0" borderId="6" xfId="0" applyNumberFormat="1" applyFont="1" applyBorder="1" applyAlignment="1">
      <alignment vertical="center"/>
    </xf>
    <xf numFmtId="0" fontId="23" fillId="0" borderId="6" xfId="0" applyFont="1" applyBorder="1" applyAlignment="1">
      <alignment horizontal="right"/>
    </xf>
    <xf numFmtId="15" fontId="23" fillId="9" borderId="6" xfId="0" applyNumberFormat="1" applyFont="1" applyFill="1" applyBorder="1" applyAlignment="1">
      <alignment horizontal="right"/>
    </xf>
    <xf numFmtId="0" fontId="30" fillId="0" borderId="6" xfId="2" applyFont="1" applyBorder="1" applyAlignment="1">
      <alignment horizontal="right"/>
    </xf>
    <xf numFmtId="167" fontId="30" fillId="0" borderId="6" xfId="2" applyNumberFormat="1" applyFont="1" applyBorder="1" applyAlignment="1">
      <alignment horizontal="right"/>
    </xf>
    <xf numFmtId="164" fontId="31" fillId="0" borderId="6" xfId="0" applyNumberFormat="1" applyFont="1" applyBorder="1" applyAlignment="1">
      <alignment horizontal="right" vertical="center"/>
    </xf>
    <xf numFmtId="165" fontId="32" fillId="0" borderId="6" xfId="0" applyNumberFormat="1" applyFont="1" applyBorder="1" applyAlignment="1">
      <alignment horizontal="center" vertical="center"/>
    </xf>
    <xf numFmtId="165" fontId="23" fillId="0" borderId="6" xfId="0" applyNumberFormat="1" applyFont="1" applyBorder="1" applyAlignment="1">
      <alignment horizontal="right" vertical="center"/>
    </xf>
    <xf numFmtId="0" fontId="33" fillId="13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5" fontId="34" fillId="0" borderId="6" xfId="0" applyNumberFormat="1" applyFont="1" applyBorder="1" applyAlignment="1">
      <alignment horizontal="center" vertical="center"/>
    </xf>
    <xf numFmtId="0" fontId="19" fillId="0" borderId="6" xfId="0" applyFont="1" applyBorder="1"/>
    <xf numFmtId="0" fontId="35" fillId="8" borderId="6" xfId="0" applyFont="1" applyFill="1" applyBorder="1" applyAlignment="1">
      <alignment horizontal="center"/>
    </xf>
    <xf numFmtId="0" fontId="14" fillId="0" borderId="6" xfId="0" applyFont="1" applyBorder="1"/>
    <xf numFmtId="15" fontId="13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right"/>
    </xf>
    <xf numFmtId="15" fontId="7" fillId="0" borderId="12" xfId="0" applyNumberFormat="1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15" fontId="13" fillId="0" borderId="13" xfId="0" applyNumberFormat="1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9" fontId="13" fillId="0" borderId="13" xfId="0" applyNumberFormat="1" applyFont="1" applyBorder="1" applyAlignment="1">
      <alignment horizontal="right"/>
    </xf>
    <xf numFmtId="0" fontId="23" fillId="0" borderId="6" xfId="0" applyFont="1" applyBorder="1"/>
    <xf numFmtId="15" fontId="23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right"/>
    </xf>
    <xf numFmtId="14" fontId="23" fillId="0" borderId="6" xfId="0" applyNumberFormat="1" applyFont="1" applyBorder="1" applyAlignment="1">
      <alignment horizontal="center"/>
    </xf>
    <xf numFmtId="15" fontId="32" fillId="11" borderId="6" xfId="0" applyNumberFormat="1" applyFont="1" applyFill="1" applyBorder="1" applyAlignment="1">
      <alignment horizontal="right"/>
    </xf>
    <xf numFmtId="0" fontId="0" fillId="0" borderId="15" xfId="0" applyBorder="1"/>
    <xf numFmtId="9" fontId="0" fillId="0" borderId="0" xfId="1" applyFont="1"/>
  </cellXfs>
  <cellStyles count="3">
    <cellStyle name="Normal" xfId="0" builtinId="0"/>
    <cellStyle name="Normal 3" xfId="2" xr:uid="{7D09189F-2632-4A65-AB56-A2C1BA8EEAAF}"/>
    <cellStyle name="Percent" xfId="1" builtinId="5"/>
  </cellStyles>
  <dxfs count="3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415F-BDAB-4A38-BD52-1EC10E22D1E8}">
  <dimension ref="B2:AL49"/>
  <sheetViews>
    <sheetView showGridLines="0" tabSelected="1" zoomScale="85" zoomScaleNormal="85" zoomScaleSheetLayoutView="85" workbookViewId="0">
      <pane xSplit="6" ySplit="3" topLeftCell="G4" activePane="bottomRight" state="frozen"/>
      <selection pane="topRight" activeCell="G1" sqref="G1"/>
      <selection pane="bottomLeft" activeCell="A10" sqref="A10"/>
      <selection pane="bottomRight" activeCell="B20" sqref="B20"/>
    </sheetView>
  </sheetViews>
  <sheetFormatPr defaultRowHeight="15" x14ac:dyDescent="0.25"/>
  <cols>
    <col min="1" max="1" width="3.7109375" customWidth="1"/>
    <col min="2" max="2" width="4.42578125" customWidth="1"/>
    <col min="3" max="3" width="7" customWidth="1"/>
    <col min="4" max="4" width="12" customWidth="1"/>
    <col min="5" max="5" width="13" customWidth="1"/>
    <col min="6" max="6" width="33.85546875" customWidth="1"/>
    <col min="7" max="7" width="21.140625" customWidth="1"/>
    <col min="8" max="8" width="5.140625" bestFit="1" customWidth="1"/>
    <col min="9" max="9" width="15.7109375" hidden="1" customWidth="1"/>
    <col min="10" max="10" width="15.7109375" customWidth="1"/>
    <col min="11" max="11" width="10.42578125" customWidth="1"/>
    <col min="12" max="12" width="13.7109375" customWidth="1"/>
    <col min="13" max="13" width="8.7109375" bestFit="1" customWidth="1"/>
    <col min="14" max="14" width="11.7109375" customWidth="1"/>
    <col min="15" max="15" width="14.140625" customWidth="1"/>
    <col min="16" max="16" width="11.42578125" customWidth="1"/>
    <col min="17" max="17" width="10.140625" customWidth="1"/>
    <col min="18" max="18" width="7.42578125" customWidth="1"/>
    <col min="19" max="19" width="18.85546875" hidden="1" customWidth="1"/>
    <col min="20" max="20" width="1.28515625" customWidth="1"/>
    <col min="22" max="22" width="19.28515625" bestFit="1" customWidth="1"/>
    <col min="23" max="23" width="44.28515625" hidden="1" customWidth="1"/>
    <col min="24" max="28" width="0" hidden="1" customWidth="1"/>
    <col min="29" max="29" width="16.5703125" hidden="1" customWidth="1"/>
    <col min="30" max="30" width="0" hidden="1" customWidth="1"/>
    <col min="31" max="31" width="14" hidden="1" customWidth="1"/>
    <col min="32" max="32" width="0" hidden="1" customWidth="1"/>
    <col min="34" max="34" width="10.5703125" bestFit="1" customWidth="1"/>
    <col min="35" max="35" width="0" hidden="1" customWidth="1"/>
    <col min="36" max="36" width="13" hidden="1" customWidth="1"/>
    <col min="37" max="39" width="0" hidden="1" customWidth="1"/>
  </cols>
  <sheetData>
    <row r="2" spans="2:38" ht="35.25" x14ac:dyDescent="0.55000000000000004">
      <c r="B2" s="1"/>
      <c r="C2" s="1" t="s">
        <v>0</v>
      </c>
    </row>
    <row r="3" spans="2:38" ht="3.75" customHeight="1" x14ac:dyDescent="0.25"/>
    <row r="4" spans="2:38" x14ac:dyDescent="0.25">
      <c r="D4" s="2"/>
      <c r="E4" s="3"/>
      <c r="F4" s="4"/>
      <c r="G4" s="5"/>
      <c r="H4" s="5"/>
      <c r="I4" s="5"/>
      <c r="J4" s="5"/>
    </row>
    <row r="5" spans="2:38" x14ac:dyDescent="0.25">
      <c r="B5" s="6" t="s">
        <v>1</v>
      </c>
      <c r="C5" s="7" t="s">
        <v>2</v>
      </c>
      <c r="D5" s="7"/>
    </row>
    <row r="6" spans="2:38" ht="5.0999999999999996" customHeight="1" thickBot="1" x14ac:dyDescent="0.3"/>
    <row r="7" spans="2:38" ht="15" customHeight="1" x14ac:dyDescent="0.25"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9" t="s">
        <v>11</v>
      </c>
      <c r="L7" s="9"/>
      <c r="M7" s="8" t="s">
        <v>12</v>
      </c>
      <c r="N7" s="10" t="s">
        <v>13</v>
      </c>
      <c r="O7" s="10" t="s">
        <v>14</v>
      </c>
      <c r="P7" s="8" t="s">
        <v>15</v>
      </c>
      <c r="Q7" s="8" t="s">
        <v>16</v>
      </c>
      <c r="R7" s="8" t="s">
        <v>17</v>
      </c>
      <c r="S7" s="8" t="s">
        <v>18</v>
      </c>
      <c r="U7" s="11" t="s">
        <v>19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2:38" ht="27.75" customHeight="1" thickBot="1" x14ac:dyDescent="0.3">
      <c r="C8" s="12"/>
      <c r="D8" s="12"/>
      <c r="E8" s="12"/>
      <c r="F8" s="12"/>
      <c r="G8" s="12"/>
      <c r="H8" s="12"/>
      <c r="I8" s="12"/>
      <c r="J8" s="12"/>
      <c r="K8" s="13" t="s">
        <v>20</v>
      </c>
      <c r="L8" s="14" t="s">
        <v>21</v>
      </c>
      <c r="M8" s="12"/>
      <c r="N8" s="15" t="s">
        <v>20</v>
      </c>
      <c r="O8" s="16" t="s">
        <v>21</v>
      </c>
      <c r="P8" s="12"/>
      <c r="Q8" s="12"/>
      <c r="R8" s="12"/>
      <c r="S8" s="12"/>
      <c r="U8" s="17" t="s">
        <v>22</v>
      </c>
      <c r="V8" s="17" t="s">
        <v>23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 t="s">
        <v>20</v>
      </c>
      <c r="AH8" s="18" t="s">
        <v>24</v>
      </c>
    </row>
    <row r="9" spans="2:38" ht="5.0999999999999996" customHeight="1" x14ac:dyDescent="0.2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2:38" ht="15" customHeight="1" x14ac:dyDescent="0.25">
      <c r="C10" s="20" t="s">
        <v>25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38" ht="15" customHeight="1" thickBot="1" x14ac:dyDescent="0.3"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2"/>
      <c r="R11" s="23"/>
      <c r="U11" s="24"/>
      <c r="V11" s="25"/>
      <c r="W11" s="26"/>
      <c r="X11" s="27"/>
      <c r="Y11" s="27"/>
      <c r="Z11" s="27"/>
      <c r="AA11" s="27"/>
      <c r="AB11" s="28"/>
      <c r="AC11" s="29"/>
      <c r="AD11" s="30"/>
      <c r="AE11" s="31"/>
      <c r="AF11" s="30"/>
      <c r="AG11" s="32"/>
      <c r="AH11" s="33"/>
      <c r="AI11" s="34"/>
      <c r="AJ11" s="35"/>
      <c r="AK11" s="36"/>
      <c r="AL11" s="37"/>
    </row>
    <row r="12" spans="2:38" ht="15" customHeight="1" thickBot="1" x14ac:dyDescent="0.3">
      <c r="C12" s="38">
        <v>1</v>
      </c>
      <c r="D12" s="39" t="s">
        <v>26</v>
      </c>
      <c r="E12" s="40" t="s">
        <v>27</v>
      </c>
      <c r="F12" s="41" t="s">
        <v>28</v>
      </c>
      <c r="G12" s="42" t="s">
        <v>29</v>
      </c>
      <c r="H12" s="42">
        <v>2024</v>
      </c>
      <c r="I12" s="43"/>
      <c r="J12" s="44" t="s">
        <v>30</v>
      </c>
      <c r="K12" s="45">
        <v>1027.9000000000001</v>
      </c>
      <c r="L12" s="46">
        <v>45996</v>
      </c>
      <c r="M12" s="47">
        <v>250</v>
      </c>
      <c r="N12" s="48">
        <v>856</v>
      </c>
      <c r="O12" s="49">
        <v>45955</v>
      </c>
      <c r="P12" s="50">
        <f t="shared" ref="P12:P18" si="0">N12+M12</f>
        <v>1106</v>
      </c>
      <c r="Q12" s="51">
        <f t="shared" ref="Q12:Q18" si="1">K12-P12</f>
        <v>-78.099999999999909</v>
      </c>
      <c r="R12" s="52">
        <f t="shared" ref="R12:R18" si="2">(Q12/M12)*100%</f>
        <v>-0.31239999999999962</v>
      </c>
      <c r="S12" s="53"/>
      <c r="T12" s="54"/>
      <c r="U12" s="55" t="s">
        <v>26</v>
      </c>
      <c r="V12" s="56" t="s">
        <v>27</v>
      </c>
      <c r="W12" s="57" t="s">
        <v>28</v>
      </c>
      <c r="X12" s="40">
        <v>961582391717</v>
      </c>
      <c r="Y12" s="40">
        <v>2024</v>
      </c>
      <c r="Z12" s="40" t="s">
        <v>31</v>
      </c>
      <c r="AA12" s="40" t="s">
        <v>32</v>
      </c>
      <c r="AB12" s="58"/>
      <c r="AC12" s="44" t="s">
        <v>30</v>
      </c>
      <c r="AD12" s="59">
        <v>1114.9000000000001</v>
      </c>
      <c r="AE12" s="60">
        <v>46034</v>
      </c>
      <c r="AF12" s="59">
        <v>500</v>
      </c>
      <c r="AG12" s="61">
        <v>1092</v>
      </c>
      <c r="AH12" s="62">
        <v>46022</v>
      </c>
      <c r="AI12" s="63">
        <v>1592</v>
      </c>
      <c r="AJ12" s="64">
        <v>46093</v>
      </c>
      <c r="AK12" s="65">
        <v>-477.1</v>
      </c>
      <c r="AL12" s="66">
        <v>-0.95</v>
      </c>
    </row>
    <row r="13" spans="2:38" ht="15" customHeight="1" thickBot="1" x14ac:dyDescent="0.3">
      <c r="C13" s="38">
        <f>C12+1</f>
        <v>2</v>
      </c>
      <c r="D13" s="39" t="s">
        <v>33</v>
      </c>
      <c r="E13" s="40" t="s">
        <v>34</v>
      </c>
      <c r="F13" s="41" t="s">
        <v>35</v>
      </c>
      <c r="G13" s="67" t="s">
        <v>36</v>
      </c>
      <c r="H13" s="67">
        <v>2022</v>
      </c>
      <c r="I13" s="43"/>
      <c r="J13" s="44" t="s">
        <v>37</v>
      </c>
      <c r="K13" s="45">
        <v>3314</v>
      </c>
      <c r="L13" s="46">
        <v>46002</v>
      </c>
      <c r="M13" s="47">
        <v>500</v>
      </c>
      <c r="N13" s="45">
        <v>2876.1</v>
      </c>
      <c r="O13" s="68">
        <v>45790</v>
      </c>
      <c r="P13" s="50">
        <f t="shared" si="0"/>
        <v>3376.1</v>
      </c>
      <c r="Q13" s="51">
        <f t="shared" si="1"/>
        <v>-62.099999999999909</v>
      </c>
      <c r="R13" s="52">
        <f t="shared" si="2"/>
        <v>-0.12419999999999982</v>
      </c>
      <c r="S13" s="53"/>
      <c r="T13" s="54"/>
      <c r="U13" s="55" t="s">
        <v>33</v>
      </c>
      <c r="V13" s="56" t="s">
        <v>34</v>
      </c>
      <c r="W13" s="57" t="s">
        <v>35</v>
      </c>
      <c r="X13" s="55">
        <v>961884301945</v>
      </c>
      <c r="Y13" s="55">
        <v>2022</v>
      </c>
      <c r="Z13" s="40" t="s">
        <v>31</v>
      </c>
      <c r="AA13" s="40" t="s">
        <v>38</v>
      </c>
      <c r="AB13" s="58"/>
      <c r="AC13" s="44" t="s">
        <v>37</v>
      </c>
      <c r="AD13" s="59">
        <v>3376.8</v>
      </c>
      <c r="AE13" s="60">
        <v>46034</v>
      </c>
      <c r="AF13" s="59">
        <v>500</v>
      </c>
      <c r="AG13" s="59">
        <v>3353.5</v>
      </c>
      <c r="AH13" s="69">
        <v>46022</v>
      </c>
      <c r="AI13" s="70">
        <v>3853.5</v>
      </c>
      <c r="AJ13" s="71">
        <v>46093</v>
      </c>
      <c r="AK13" s="72">
        <v>-476.7</v>
      </c>
      <c r="AL13" s="73">
        <v>-0.95</v>
      </c>
    </row>
    <row r="14" spans="2:38" ht="15" customHeight="1" thickBot="1" x14ac:dyDescent="0.3">
      <c r="C14" s="38">
        <f t="shared" ref="C14:C21" si="3">C13+1</f>
        <v>3</v>
      </c>
      <c r="D14" s="39" t="s">
        <v>39</v>
      </c>
      <c r="E14" s="74" t="s">
        <v>40</v>
      </c>
      <c r="F14" s="75" t="s">
        <v>41</v>
      </c>
      <c r="G14" s="76" t="s">
        <v>42</v>
      </c>
      <c r="H14" s="76">
        <v>2013</v>
      </c>
      <c r="I14" s="43"/>
      <c r="J14" s="44" t="s">
        <v>30</v>
      </c>
      <c r="K14" s="77" t="s">
        <v>43</v>
      </c>
      <c r="L14" s="78">
        <v>45936</v>
      </c>
      <c r="M14" s="47">
        <v>500</v>
      </c>
      <c r="N14" s="45">
        <v>2105.3000000000002</v>
      </c>
      <c r="O14" s="68">
        <v>45783</v>
      </c>
      <c r="P14" s="50">
        <f t="shared" si="0"/>
        <v>2605.3000000000002</v>
      </c>
      <c r="Q14" s="51"/>
      <c r="R14" s="52"/>
      <c r="S14" s="53"/>
      <c r="T14" s="54"/>
      <c r="U14" s="55" t="s">
        <v>39</v>
      </c>
      <c r="V14" s="79" t="s">
        <v>40</v>
      </c>
      <c r="W14" s="41" t="s">
        <v>41</v>
      </c>
      <c r="X14" s="55" t="s">
        <v>42</v>
      </c>
      <c r="Y14" s="55">
        <v>2013</v>
      </c>
      <c r="Z14" s="40" t="s">
        <v>31</v>
      </c>
      <c r="AA14" s="58"/>
      <c r="AB14" s="58"/>
      <c r="AC14" s="44" t="s">
        <v>30</v>
      </c>
      <c r="AD14" s="59">
        <v>2250</v>
      </c>
      <c r="AE14" s="60">
        <v>46034</v>
      </c>
      <c r="AF14" s="59">
        <v>500</v>
      </c>
      <c r="AG14" s="59">
        <v>2105.3000000000002</v>
      </c>
      <c r="AH14" s="69">
        <v>46013</v>
      </c>
      <c r="AI14" s="70">
        <v>2605.3000000000002</v>
      </c>
      <c r="AJ14" s="71">
        <v>46078</v>
      </c>
      <c r="AK14" s="72">
        <v>-355.3</v>
      </c>
      <c r="AL14" s="73">
        <v>-0.71</v>
      </c>
    </row>
    <row r="15" spans="2:38" ht="15" customHeight="1" thickBot="1" x14ac:dyDescent="0.3">
      <c r="C15" s="38">
        <f t="shared" si="3"/>
        <v>4</v>
      </c>
      <c r="D15" s="39" t="s">
        <v>44</v>
      </c>
      <c r="E15" s="74" t="s">
        <v>45</v>
      </c>
      <c r="F15" s="75" t="s">
        <v>46</v>
      </c>
      <c r="G15" s="76" t="s">
        <v>47</v>
      </c>
      <c r="H15" s="76">
        <v>2025</v>
      </c>
      <c r="I15" s="43"/>
      <c r="J15" s="44" t="s">
        <v>48</v>
      </c>
      <c r="K15" s="77">
        <v>9491</v>
      </c>
      <c r="L15" s="46">
        <v>46003</v>
      </c>
      <c r="M15" s="47">
        <v>500</v>
      </c>
      <c r="N15" s="77">
        <v>9051</v>
      </c>
      <c r="O15" s="68">
        <v>45917</v>
      </c>
      <c r="P15" s="50">
        <f t="shared" si="0"/>
        <v>9551</v>
      </c>
      <c r="Q15" s="51">
        <f t="shared" si="1"/>
        <v>-60</v>
      </c>
      <c r="R15" s="52">
        <f t="shared" si="2"/>
        <v>-0.12</v>
      </c>
      <c r="S15" s="53"/>
      <c r="T15" s="54"/>
      <c r="U15" s="55" t="s">
        <v>44</v>
      </c>
      <c r="V15" s="79" t="s">
        <v>45</v>
      </c>
      <c r="W15" s="41" t="s">
        <v>46</v>
      </c>
      <c r="X15" s="55" t="s">
        <v>49</v>
      </c>
      <c r="Y15" s="55">
        <v>2025</v>
      </c>
      <c r="Z15" s="40" t="s">
        <v>31</v>
      </c>
      <c r="AA15" s="40" t="s">
        <v>50</v>
      </c>
      <c r="AB15" s="58"/>
      <c r="AC15" s="44" t="s">
        <v>48</v>
      </c>
      <c r="AD15" s="59">
        <v>9667</v>
      </c>
      <c r="AE15" s="60">
        <v>46031</v>
      </c>
      <c r="AF15" s="59">
        <v>500</v>
      </c>
      <c r="AG15" s="59">
        <v>9629</v>
      </c>
      <c r="AH15" s="69">
        <v>46022</v>
      </c>
      <c r="AI15" s="70">
        <v>10129</v>
      </c>
      <c r="AJ15" s="71">
        <v>46088</v>
      </c>
      <c r="AK15" s="72">
        <v>-462</v>
      </c>
      <c r="AL15" s="73">
        <v>-0.92</v>
      </c>
    </row>
    <row r="16" spans="2:38" ht="15" customHeight="1" thickBot="1" x14ac:dyDescent="0.3">
      <c r="C16" s="38">
        <f t="shared" si="3"/>
        <v>5</v>
      </c>
      <c r="D16" s="39" t="s">
        <v>51</v>
      </c>
      <c r="E16" s="74" t="s">
        <v>52</v>
      </c>
      <c r="F16" s="75" t="s">
        <v>53</v>
      </c>
      <c r="G16" s="76" t="s">
        <v>54</v>
      </c>
      <c r="H16" s="76">
        <v>2023</v>
      </c>
      <c r="I16" s="43"/>
      <c r="J16" s="44"/>
      <c r="K16" s="77">
        <v>3631</v>
      </c>
      <c r="L16" s="46">
        <v>45859</v>
      </c>
      <c r="M16" s="47">
        <v>500</v>
      </c>
      <c r="N16" s="77">
        <v>3631</v>
      </c>
      <c r="O16" s="68">
        <v>45856</v>
      </c>
      <c r="P16" s="50"/>
      <c r="Q16" s="51"/>
      <c r="R16" s="52"/>
      <c r="S16" s="53"/>
      <c r="T16" s="54"/>
      <c r="U16" s="55"/>
      <c r="V16" s="56"/>
      <c r="W16" s="57"/>
      <c r="X16" s="40"/>
      <c r="Y16" s="40"/>
      <c r="Z16" s="40"/>
      <c r="AA16" s="40"/>
      <c r="AB16" s="58"/>
      <c r="AC16" s="44"/>
      <c r="AD16" s="59"/>
      <c r="AE16" s="60"/>
      <c r="AF16" s="59"/>
      <c r="AG16" s="61"/>
      <c r="AH16" s="62"/>
      <c r="AI16" s="80"/>
      <c r="AJ16" s="81"/>
      <c r="AK16" s="82"/>
      <c r="AL16" s="83"/>
    </row>
    <row r="17" spans="3:38" ht="15" customHeight="1" thickBot="1" x14ac:dyDescent="0.3">
      <c r="C17" s="38">
        <f t="shared" si="3"/>
        <v>6</v>
      </c>
      <c r="D17" s="39" t="s">
        <v>55</v>
      </c>
      <c r="E17" s="84" t="s">
        <v>56</v>
      </c>
      <c r="F17" s="41" t="s">
        <v>57</v>
      </c>
      <c r="G17" s="76" t="s">
        <v>58</v>
      </c>
      <c r="H17" s="85">
        <v>2019</v>
      </c>
      <c r="I17" s="43"/>
      <c r="J17" s="58"/>
      <c r="K17" s="58">
        <v>188848</v>
      </c>
      <c r="L17" s="86">
        <v>46003</v>
      </c>
      <c r="M17" s="43">
        <v>7500</v>
      </c>
      <c r="N17" s="58">
        <v>181348</v>
      </c>
      <c r="O17" s="87">
        <v>45826</v>
      </c>
      <c r="P17" s="50">
        <f t="shared" si="0"/>
        <v>188848</v>
      </c>
      <c r="Q17" s="51">
        <f t="shared" si="1"/>
        <v>0</v>
      </c>
      <c r="R17" s="52">
        <f t="shared" si="2"/>
        <v>0</v>
      </c>
      <c r="S17" s="53"/>
      <c r="T17" s="54"/>
      <c r="U17" s="40" t="s">
        <v>55</v>
      </c>
      <c r="V17" s="55" t="s">
        <v>56</v>
      </c>
      <c r="W17" s="41" t="s">
        <v>59</v>
      </c>
      <c r="X17" s="55" t="s">
        <v>58</v>
      </c>
      <c r="Y17" s="44">
        <v>2019</v>
      </c>
      <c r="Z17" s="55" t="s">
        <v>60</v>
      </c>
      <c r="AA17" s="40" t="s">
        <v>61</v>
      </c>
      <c r="AB17" s="58"/>
      <c r="AC17" s="58"/>
      <c r="AD17" s="88">
        <v>188878</v>
      </c>
      <c r="AE17" s="89">
        <v>46020</v>
      </c>
      <c r="AF17" s="88">
        <v>7500</v>
      </c>
      <c r="AG17" s="88">
        <v>188874</v>
      </c>
      <c r="AH17" s="90">
        <v>46013</v>
      </c>
      <c r="AI17" s="70">
        <v>196374</v>
      </c>
      <c r="AJ17" s="71">
        <v>46120</v>
      </c>
      <c r="AK17" s="72">
        <v>-7496</v>
      </c>
      <c r="AL17" s="73">
        <v>-1</v>
      </c>
    </row>
    <row r="18" spans="3:38" ht="15" customHeight="1" thickBot="1" x14ac:dyDescent="0.3">
      <c r="C18" s="38">
        <f t="shared" si="3"/>
        <v>7</v>
      </c>
      <c r="D18" s="91" t="s">
        <v>62</v>
      </c>
      <c r="E18" s="84" t="s">
        <v>63</v>
      </c>
      <c r="F18" s="41" t="s">
        <v>64</v>
      </c>
      <c r="G18" s="76" t="s">
        <v>65</v>
      </c>
      <c r="H18" s="85">
        <v>2022</v>
      </c>
      <c r="I18" s="43"/>
      <c r="J18" s="58"/>
      <c r="K18" s="45">
        <v>77399</v>
      </c>
      <c r="L18" s="78">
        <v>45987</v>
      </c>
      <c r="M18" s="43">
        <v>7500</v>
      </c>
      <c r="N18" s="45">
        <v>69627</v>
      </c>
      <c r="O18" s="68">
        <v>45824</v>
      </c>
      <c r="P18" s="50">
        <f t="shared" si="0"/>
        <v>77127</v>
      </c>
      <c r="Q18" s="51">
        <f t="shared" si="1"/>
        <v>272</v>
      </c>
      <c r="R18" s="52">
        <f t="shared" si="2"/>
        <v>3.6266666666666669E-2</v>
      </c>
      <c r="S18" s="53"/>
      <c r="T18" s="54"/>
      <c r="U18" s="56" t="s">
        <v>62</v>
      </c>
      <c r="V18" s="55" t="s">
        <v>63</v>
      </c>
      <c r="W18" s="41" t="s">
        <v>66</v>
      </c>
      <c r="X18" s="56" t="s">
        <v>65</v>
      </c>
      <c r="Y18" s="56">
        <v>2022</v>
      </c>
      <c r="Z18" s="40" t="s">
        <v>31</v>
      </c>
      <c r="AA18" s="58"/>
      <c r="AB18" s="58"/>
      <c r="AC18" s="58"/>
      <c r="AD18" s="59">
        <v>79354</v>
      </c>
      <c r="AE18" s="60">
        <v>46035</v>
      </c>
      <c r="AF18" s="88">
        <v>10000</v>
      </c>
      <c r="AG18" s="59">
        <v>79354</v>
      </c>
      <c r="AH18" s="69">
        <v>46035</v>
      </c>
      <c r="AI18" s="70">
        <v>89354</v>
      </c>
      <c r="AJ18" s="71">
        <v>46101</v>
      </c>
      <c r="AK18" s="72">
        <v>-10000</v>
      </c>
      <c r="AL18" s="73">
        <v>-1</v>
      </c>
    </row>
    <row r="19" spans="3:38" ht="15" customHeight="1" thickBot="1" x14ac:dyDescent="0.3">
      <c r="C19" s="38">
        <f t="shared" si="3"/>
        <v>8</v>
      </c>
      <c r="D19" s="92" t="s">
        <v>67</v>
      </c>
      <c r="E19" s="93" t="s">
        <v>68</v>
      </c>
      <c r="F19" s="75" t="s">
        <v>69</v>
      </c>
      <c r="G19" s="76" t="s">
        <v>70</v>
      </c>
      <c r="H19" s="76">
        <v>2025</v>
      </c>
      <c r="I19" s="94"/>
      <c r="J19" s="40" t="s">
        <v>71</v>
      </c>
      <c r="K19" s="45">
        <v>1384</v>
      </c>
      <c r="L19" s="46">
        <v>46020</v>
      </c>
      <c r="M19" s="47">
        <v>500</v>
      </c>
      <c r="N19" s="45">
        <v>965</v>
      </c>
      <c r="O19" s="68">
        <v>45936</v>
      </c>
      <c r="P19" s="77">
        <v>1465</v>
      </c>
      <c r="Q19" s="51">
        <f>K19-P19</f>
        <v>-81</v>
      </c>
      <c r="R19" s="52">
        <f>(Q19/M19)*100%</f>
        <v>-0.16200000000000001</v>
      </c>
      <c r="S19" s="52"/>
      <c r="T19" s="54"/>
      <c r="U19" s="56" t="s">
        <v>67</v>
      </c>
      <c r="V19" s="79" t="s">
        <v>72</v>
      </c>
      <c r="W19" s="41" t="s">
        <v>69</v>
      </c>
      <c r="X19" s="55" t="s">
        <v>70</v>
      </c>
      <c r="Y19" s="55">
        <v>2025</v>
      </c>
      <c r="Z19" s="40" t="s">
        <v>73</v>
      </c>
      <c r="AA19" s="40" t="s">
        <v>74</v>
      </c>
      <c r="AB19" s="58"/>
      <c r="AC19" s="40" t="s">
        <v>71</v>
      </c>
      <c r="AD19" s="59">
        <v>1569</v>
      </c>
      <c r="AE19" s="95">
        <v>46050</v>
      </c>
      <c r="AF19" s="59">
        <v>500</v>
      </c>
      <c r="AG19" s="59">
        <v>1569</v>
      </c>
      <c r="AH19" s="69">
        <v>46050</v>
      </c>
      <c r="AI19" s="70">
        <v>2069</v>
      </c>
      <c r="AJ19" s="71">
        <v>46112</v>
      </c>
      <c r="AK19" s="72">
        <v>-500</v>
      </c>
      <c r="AL19" s="73">
        <v>-1</v>
      </c>
    </row>
    <row r="20" spans="3:38" ht="15" customHeight="1" thickBot="1" x14ac:dyDescent="0.3">
      <c r="C20" s="38">
        <f t="shared" si="3"/>
        <v>9</v>
      </c>
      <c r="D20" s="39" t="s">
        <v>75</v>
      </c>
      <c r="E20" s="93" t="s">
        <v>76</v>
      </c>
      <c r="F20" s="75" t="s">
        <v>77</v>
      </c>
      <c r="G20" s="76" t="s">
        <v>78</v>
      </c>
      <c r="H20" s="76">
        <v>2022</v>
      </c>
      <c r="I20" s="96"/>
      <c r="J20" s="53"/>
      <c r="K20" s="50">
        <v>5488.6</v>
      </c>
      <c r="L20" s="97">
        <v>46034</v>
      </c>
      <c r="M20" s="47">
        <v>500</v>
      </c>
      <c r="N20" s="45">
        <v>4998.1000000000004</v>
      </c>
      <c r="O20" s="68">
        <v>45908</v>
      </c>
      <c r="P20" s="77">
        <v>5498.1</v>
      </c>
      <c r="Q20" s="51">
        <f>K20-P20</f>
        <v>-9.5</v>
      </c>
      <c r="R20" s="52">
        <f>(Q20/M20)*100%</f>
        <v>-1.9E-2</v>
      </c>
      <c r="S20" s="52"/>
      <c r="T20" s="54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</row>
    <row r="21" spans="3:38" ht="15" customHeight="1" thickBot="1" x14ac:dyDescent="0.3">
      <c r="C21" s="38">
        <f t="shared" si="3"/>
        <v>10</v>
      </c>
      <c r="D21" s="39" t="s">
        <v>79</v>
      </c>
      <c r="E21" s="93" t="s">
        <v>80</v>
      </c>
      <c r="F21" s="75" t="s">
        <v>77</v>
      </c>
      <c r="G21" s="76" t="s">
        <v>81</v>
      </c>
      <c r="H21" s="76">
        <v>2022</v>
      </c>
      <c r="I21" s="96"/>
      <c r="J21" s="44" t="s">
        <v>82</v>
      </c>
      <c r="K21" s="77">
        <v>6321.8</v>
      </c>
      <c r="L21" s="46">
        <v>46020</v>
      </c>
      <c r="M21" s="47">
        <v>500</v>
      </c>
      <c r="N21" s="45">
        <v>5717.8</v>
      </c>
      <c r="O21" s="68">
        <v>45912</v>
      </c>
      <c r="P21" s="77">
        <v>6217.8</v>
      </c>
      <c r="Q21" s="51">
        <f>K21-P21</f>
        <v>104</v>
      </c>
      <c r="R21" s="52">
        <f>(Q21/M21)*100%</f>
        <v>0.20799999999999999</v>
      </c>
      <c r="S21" s="52"/>
      <c r="T21" s="54"/>
      <c r="U21" s="55" t="s">
        <v>79</v>
      </c>
      <c r="V21" s="79" t="s">
        <v>80</v>
      </c>
      <c r="W21" s="41" t="s">
        <v>77</v>
      </c>
      <c r="X21" s="55" t="s">
        <v>81</v>
      </c>
      <c r="Y21" s="55">
        <v>2022</v>
      </c>
      <c r="Z21" s="40" t="s">
        <v>31</v>
      </c>
      <c r="AA21" s="40" t="s">
        <v>83</v>
      </c>
      <c r="AB21" s="58"/>
      <c r="AC21" s="44" t="s">
        <v>82</v>
      </c>
      <c r="AD21" s="59">
        <v>6321</v>
      </c>
      <c r="AE21" s="60">
        <v>46029</v>
      </c>
      <c r="AF21" s="59">
        <v>500</v>
      </c>
      <c r="AG21" s="59">
        <v>6321</v>
      </c>
      <c r="AH21" s="69">
        <v>46029</v>
      </c>
      <c r="AI21" s="70">
        <v>6821</v>
      </c>
      <c r="AJ21" s="71">
        <v>46091</v>
      </c>
      <c r="AK21" s="72">
        <v>-500</v>
      </c>
      <c r="AL21" s="73">
        <v>-1</v>
      </c>
    </row>
    <row r="22" spans="3:38" ht="9" customHeight="1" x14ac:dyDescent="0.25">
      <c r="C22" s="98"/>
      <c r="D22" s="98"/>
      <c r="E22" s="99"/>
      <c r="F22" s="100"/>
      <c r="G22" s="101"/>
      <c r="H22" s="101"/>
      <c r="I22" s="102"/>
      <c r="K22" s="21"/>
      <c r="L22" s="103"/>
      <c r="M22" s="104"/>
      <c r="N22" s="21"/>
      <c r="O22" s="104"/>
      <c r="P22" s="105"/>
      <c r="Q22" s="22"/>
      <c r="R22" s="23"/>
      <c r="S22" s="106"/>
      <c r="T22" s="107"/>
    </row>
    <row r="23" spans="3:38" ht="15" customHeight="1" thickBot="1" x14ac:dyDescent="0.3">
      <c r="C23" s="7" t="s">
        <v>84</v>
      </c>
      <c r="D23" s="98"/>
      <c r="E23" s="99"/>
      <c r="F23" s="100"/>
      <c r="G23" s="101"/>
      <c r="H23" s="101"/>
      <c r="I23" s="102"/>
      <c r="K23" s="21"/>
      <c r="L23" s="103"/>
      <c r="M23" s="104"/>
      <c r="N23" s="21"/>
      <c r="O23" s="104"/>
      <c r="P23" s="105"/>
      <c r="Q23" s="22"/>
      <c r="R23" s="23"/>
      <c r="S23" s="108"/>
      <c r="T23" s="107"/>
    </row>
    <row r="24" spans="3:38" ht="15" customHeight="1" thickBot="1" x14ac:dyDescent="0.3">
      <c r="C24" s="109">
        <v>1</v>
      </c>
      <c r="D24" s="85" t="s">
        <v>85</v>
      </c>
      <c r="E24" s="110" t="s">
        <v>86</v>
      </c>
      <c r="F24" s="111" t="s">
        <v>41</v>
      </c>
      <c r="G24" s="85" t="s">
        <v>42</v>
      </c>
      <c r="H24" s="85">
        <v>2013</v>
      </c>
      <c r="I24" s="112"/>
      <c r="J24" s="113" t="s">
        <v>87</v>
      </c>
      <c r="K24" s="114">
        <v>5441</v>
      </c>
      <c r="L24" s="115">
        <v>46024</v>
      </c>
      <c r="M24" s="116">
        <v>500</v>
      </c>
      <c r="N24" s="117">
        <v>5016.1000000000004</v>
      </c>
      <c r="O24" s="118">
        <v>45899</v>
      </c>
      <c r="P24" s="119">
        <f>N24+M24</f>
        <v>5516.1</v>
      </c>
      <c r="Q24" s="120">
        <f>K24-P24</f>
        <v>-75.100000000000364</v>
      </c>
      <c r="R24" s="121">
        <f>(Q24/M24)*100%</f>
        <v>-0.15020000000000072</v>
      </c>
      <c r="S24" s="52"/>
      <c r="T24" s="54"/>
      <c r="U24" s="55" t="s">
        <v>85</v>
      </c>
      <c r="V24" s="56" t="s">
        <v>86</v>
      </c>
      <c r="W24" s="57" t="s">
        <v>35</v>
      </c>
      <c r="X24" s="55">
        <v>961582391036</v>
      </c>
      <c r="Y24" s="55">
        <v>2020</v>
      </c>
      <c r="Z24" s="40" t="s">
        <v>31</v>
      </c>
      <c r="AA24" s="40" t="s">
        <v>88</v>
      </c>
      <c r="AB24" s="58"/>
      <c r="AC24" s="44" t="s">
        <v>87</v>
      </c>
      <c r="AD24" s="59">
        <v>5505.1</v>
      </c>
      <c r="AE24" s="60">
        <v>46036</v>
      </c>
      <c r="AF24" s="59">
        <v>500</v>
      </c>
      <c r="AG24" s="59">
        <v>5505</v>
      </c>
      <c r="AH24" s="69">
        <v>46036</v>
      </c>
      <c r="AI24" s="70">
        <v>6005</v>
      </c>
      <c r="AJ24" s="71">
        <v>46098</v>
      </c>
      <c r="AK24" s="72">
        <v>-499.9</v>
      </c>
      <c r="AL24" s="73">
        <v>-1</v>
      </c>
    </row>
    <row r="25" spans="3:38" ht="15" customHeight="1" thickBot="1" x14ac:dyDescent="0.3">
      <c r="C25" s="122">
        <f>C24+1</f>
        <v>2</v>
      </c>
      <c r="D25" s="122" t="s">
        <v>89</v>
      </c>
      <c r="E25" s="123" t="s">
        <v>90</v>
      </c>
      <c r="F25" s="124" t="s">
        <v>91</v>
      </c>
      <c r="G25" s="125" t="s">
        <v>92</v>
      </c>
      <c r="H25" s="125">
        <v>2021</v>
      </c>
      <c r="I25" s="126" t="s">
        <v>93</v>
      </c>
      <c r="J25" s="113" t="s">
        <v>87</v>
      </c>
      <c r="K25" s="119">
        <v>7188.8</v>
      </c>
      <c r="L25" s="127">
        <v>46034</v>
      </c>
      <c r="M25" s="116">
        <v>500</v>
      </c>
      <c r="N25" s="119">
        <v>6739.1</v>
      </c>
      <c r="O25" s="128">
        <v>45923</v>
      </c>
      <c r="P25" s="119">
        <f>N25+M25</f>
        <v>7239.1</v>
      </c>
      <c r="Q25" s="120">
        <f>K25-P25</f>
        <v>-50.300000000000182</v>
      </c>
      <c r="R25" s="121">
        <f>(Q25/M25)*100%</f>
        <v>-0.10060000000000037</v>
      </c>
      <c r="S25" s="52"/>
      <c r="T25" s="54"/>
      <c r="U25" s="55" t="s">
        <v>89</v>
      </c>
      <c r="V25" s="79" t="s">
        <v>90</v>
      </c>
      <c r="W25" s="41" t="s">
        <v>94</v>
      </c>
      <c r="X25" s="55" t="s">
        <v>92</v>
      </c>
      <c r="Y25" s="55">
        <v>2021</v>
      </c>
      <c r="Z25" s="40" t="s">
        <v>31</v>
      </c>
      <c r="AA25" s="40" t="s">
        <v>95</v>
      </c>
      <c r="AB25" s="58"/>
      <c r="AC25" s="44" t="s">
        <v>87</v>
      </c>
      <c r="AD25" s="59">
        <v>7241</v>
      </c>
      <c r="AE25" s="95">
        <v>46044</v>
      </c>
      <c r="AF25" s="59">
        <v>500</v>
      </c>
      <c r="AG25" s="59">
        <v>7241</v>
      </c>
      <c r="AH25" s="129">
        <v>46044</v>
      </c>
      <c r="AI25" s="70">
        <v>7741</v>
      </c>
      <c r="AJ25" s="71">
        <v>46106</v>
      </c>
      <c r="AK25" s="72">
        <v>-500</v>
      </c>
      <c r="AL25" s="73">
        <v>-1</v>
      </c>
    </row>
    <row r="26" spans="3:38" ht="15" customHeight="1" x14ac:dyDescent="0.25">
      <c r="C26" s="122">
        <f t="shared" ref="C26:C41" si="4">C25+1</f>
        <v>3</v>
      </c>
      <c r="D26" s="122" t="s">
        <v>51</v>
      </c>
      <c r="E26" s="123" t="s">
        <v>52</v>
      </c>
      <c r="F26" s="124" t="s">
        <v>53</v>
      </c>
      <c r="G26" s="125" t="s">
        <v>54</v>
      </c>
      <c r="H26" s="125">
        <v>2023</v>
      </c>
      <c r="I26" s="126" t="s">
        <v>96</v>
      </c>
      <c r="J26" s="130" t="s">
        <v>87</v>
      </c>
      <c r="K26" s="119" t="s">
        <v>43</v>
      </c>
      <c r="L26" s="127">
        <v>46040</v>
      </c>
      <c r="M26" s="116">
        <v>500</v>
      </c>
      <c r="N26" s="119">
        <v>3631</v>
      </c>
      <c r="O26" s="128">
        <v>45856</v>
      </c>
      <c r="P26" s="119">
        <f t="shared" ref="P26:P41" si="5">N26+M26</f>
        <v>4131</v>
      </c>
      <c r="Q26" s="120"/>
      <c r="R26" s="121"/>
      <c r="S26" s="131" t="s">
        <v>43</v>
      </c>
      <c r="T26" s="5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</row>
    <row r="27" spans="3:38" ht="15" customHeight="1" x14ac:dyDescent="0.25">
      <c r="C27" s="122">
        <f t="shared" si="4"/>
        <v>4</v>
      </c>
      <c r="D27" s="132" t="s">
        <v>97</v>
      </c>
      <c r="E27" s="132" t="s">
        <v>98</v>
      </c>
      <c r="F27" s="133" t="s">
        <v>99</v>
      </c>
      <c r="G27" s="134" t="s">
        <v>100</v>
      </c>
      <c r="H27" s="134">
        <v>2025</v>
      </c>
      <c r="I27" s="126" t="s">
        <v>93</v>
      </c>
      <c r="J27" s="114" t="s">
        <v>101</v>
      </c>
      <c r="K27" s="135">
        <v>977</v>
      </c>
      <c r="L27" s="136">
        <v>46043</v>
      </c>
      <c r="M27" s="116">
        <v>500</v>
      </c>
      <c r="N27" s="135">
        <v>550.29999999999995</v>
      </c>
      <c r="O27" s="137">
        <v>45922</v>
      </c>
      <c r="P27" s="119">
        <f t="shared" si="5"/>
        <v>1050.3</v>
      </c>
      <c r="Q27" s="120">
        <f t="shared" ref="Q27:Q33" si="6">K27-P27</f>
        <v>-73.299999999999955</v>
      </c>
      <c r="R27" s="121">
        <f t="shared" ref="R27:R33" si="7">(Q27/M27)*100%</f>
        <v>-0.1465999999999999</v>
      </c>
      <c r="S27" s="131"/>
      <c r="T27" s="54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</row>
    <row r="28" spans="3:38" ht="27" customHeight="1" x14ac:dyDescent="0.25">
      <c r="C28" s="122">
        <f t="shared" si="4"/>
        <v>5</v>
      </c>
      <c r="D28" s="138" t="s">
        <v>102</v>
      </c>
      <c r="E28" s="139" t="s">
        <v>103</v>
      </c>
      <c r="F28" s="140" t="s">
        <v>59</v>
      </c>
      <c r="G28" s="139" t="s">
        <v>104</v>
      </c>
      <c r="H28" s="141">
        <v>2019</v>
      </c>
      <c r="I28" s="126" t="s">
        <v>93</v>
      </c>
      <c r="J28" s="130" t="s">
        <v>87</v>
      </c>
      <c r="K28" s="142">
        <v>74135</v>
      </c>
      <c r="L28" s="143">
        <v>46041</v>
      </c>
      <c r="M28" s="116">
        <v>7500</v>
      </c>
      <c r="N28" s="142">
        <v>66550</v>
      </c>
      <c r="O28" s="144">
        <v>45859</v>
      </c>
      <c r="P28" s="119">
        <f t="shared" si="5"/>
        <v>74050</v>
      </c>
      <c r="Q28" s="120">
        <f t="shared" si="6"/>
        <v>85</v>
      </c>
      <c r="R28" s="121">
        <f t="shared" si="7"/>
        <v>1.1333333333333334E-2</v>
      </c>
      <c r="S28" s="131"/>
      <c r="T28" s="54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</row>
    <row r="29" spans="3:38" ht="15" customHeight="1" thickBot="1" x14ac:dyDescent="0.3">
      <c r="C29" s="122">
        <f t="shared" si="4"/>
        <v>6</v>
      </c>
      <c r="D29" s="145" t="s">
        <v>105</v>
      </c>
      <c r="E29" s="146" t="s">
        <v>106</v>
      </c>
      <c r="F29" s="124" t="s">
        <v>107</v>
      </c>
      <c r="G29" s="125" t="s">
        <v>108</v>
      </c>
      <c r="H29" s="147">
        <v>2023</v>
      </c>
      <c r="I29" s="146" t="s">
        <v>60</v>
      </c>
      <c r="J29" s="116"/>
      <c r="K29" s="148">
        <v>55393</v>
      </c>
      <c r="L29" s="149">
        <v>46034</v>
      </c>
      <c r="M29" s="150">
        <v>10000</v>
      </c>
      <c r="N29" s="151">
        <v>45807</v>
      </c>
      <c r="O29" s="152">
        <v>45810</v>
      </c>
      <c r="P29" s="119">
        <f t="shared" si="5"/>
        <v>55807</v>
      </c>
      <c r="Q29" s="120">
        <f t="shared" si="6"/>
        <v>-414</v>
      </c>
      <c r="R29" s="121">
        <f t="shared" si="7"/>
        <v>-4.1399999999999999E-2</v>
      </c>
      <c r="S29" s="52"/>
      <c r="T29" s="54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</row>
    <row r="30" spans="3:38" ht="15" customHeight="1" thickBot="1" x14ac:dyDescent="0.3">
      <c r="C30" s="122">
        <f t="shared" si="4"/>
        <v>7</v>
      </c>
      <c r="D30" s="110" t="s">
        <v>109</v>
      </c>
      <c r="E30" s="85" t="s">
        <v>110</v>
      </c>
      <c r="F30" s="111" t="s">
        <v>111</v>
      </c>
      <c r="G30" s="85" t="s">
        <v>112</v>
      </c>
      <c r="H30" s="113">
        <v>2023</v>
      </c>
      <c r="I30" s="146"/>
      <c r="J30" s="116"/>
      <c r="K30" s="153">
        <v>60949</v>
      </c>
      <c r="L30" s="154">
        <v>46041</v>
      </c>
      <c r="M30" s="150">
        <v>10000</v>
      </c>
      <c r="N30" s="155">
        <v>50304</v>
      </c>
      <c r="O30" s="156">
        <v>45862</v>
      </c>
      <c r="P30" s="119">
        <f t="shared" si="5"/>
        <v>60304</v>
      </c>
      <c r="Q30" s="120">
        <f t="shared" si="6"/>
        <v>645</v>
      </c>
      <c r="R30" s="121">
        <f t="shared" si="7"/>
        <v>6.4500000000000002E-2</v>
      </c>
      <c r="S30" s="52"/>
      <c r="T30" s="54"/>
      <c r="U30" s="56" t="s">
        <v>109</v>
      </c>
      <c r="V30" s="55" t="s">
        <v>110</v>
      </c>
      <c r="W30" s="41" t="s">
        <v>111</v>
      </c>
      <c r="X30" s="55" t="s">
        <v>112</v>
      </c>
      <c r="Y30" s="44">
        <v>2023</v>
      </c>
      <c r="Z30" s="55" t="s">
        <v>60</v>
      </c>
      <c r="AA30" s="40" t="s">
        <v>113</v>
      </c>
      <c r="AB30" s="40">
        <v>85161816964</v>
      </c>
      <c r="AC30" s="58"/>
      <c r="AD30" s="88">
        <v>60949</v>
      </c>
      <c r="AE30" s="60">
        <v>46041</v>
      </c>
      <c r="AF30" s="88">
        <v>10000</v>
      </c>
      <c r="AG30" s="88">
        <v>60331</v>
      </c>
      <c r="AH30" s="69">
        <v>46030</v>
      </c>
      <c r="AI30" s="70">
        <v>70331</v>
      </c>
      <c r="AJ30" s="71">
        <v>46166</v>
      </c>
      <c r="AK30" s="72">
        <v>-9382</v>
      </c>
      <c r="AL30" s="73">
        <v>-0.94</v>
      </c>
    </row>
    <row r="31" spans="3:38" ht="15" customHeight="1" x14ac:dyDescent="0.25">
      <c r="C31" s="122">
        <f t="shared" si="4"/>
        <v>8</v>
      </c>
      <c r="D31" s="122" t="s">
        <v>114</v>
      </c>
      <c r="E31" s="146" t="s">
        <v>115</v>
      </c>
      <c r="F31" s="124" t="s">
        <v>57</v>
      </c>
      <c r="G31" s="125" t="s">
        <v>116</v>
      </c>
      <c r="H31" s="147">
        <v>2018</v>
      </c>
      <c r="I31" s="146" t="s">
        <v>60</v>
      </c>
      <c r="J31" s="119"/>
      <c r="K31" s="157">
        <v>110517</v>
      </c>
      <c r="L31" s="149">
        <v>46034</v>
      </c>
      <c r="M31" s="150">
        <v>7500</v>
      </c>
      <c r="N31" s="151">
        <v>102966</v>
      </c>
      <c r="O31" s="152">
        <v>45971</v>
      </c>
      <c r="P31" s="119">
        <f t="shared" si="5"/>
        <v>110466</v>
      </c>
      <c r="Q31" s="120">
        <f t="shared" si="6"/>
        <v>51</v>
      </c>
      <c r="R31" s="121">
        <f t="shared" si="7"/>
        <v>6.7999999999999996E-3</v>
      </c>
      <c r="S31" s="52"/>
      <c r="T31" s="54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</row>
    <row r="32" spans="3:38" ht="15" customHeight="1" x14ac:dyDescent="0.25">
      <c r="C32" s="122">
        <f t="shared" si="4"/>
        <v>9</v>
      </c>
      <c r="D32" s="122" t="s">
        <v>117</v>
      </c>
      <c r="E32" s="146" t="s">
        <v>118</v>
      </c>
      <c r="F32" s="124" t="s">
        <v>57</v>
      </c>
      <c r="G32" s="125" t="s">
        <v>119</v>
      </c>
      <c r="H32" s="147">
        <v>2017</v>
      </c>
      <c r="I32" s="146" t="s">
        <v>60</v>
      </c>
      <c r="J32" s="116"/>
      <c r="K32" s="151">
        <v>238177</v>
      </c>
      <c r="L32" s="149">
        <v>46034</v>
      </c>
      <c r="M32" s="150">
        <v>7500</v>
      </c>
      <c r="N32" s="151">
        <v>230933</v>
      </c>
      <c r="O32" s="152">
        <v>45792</v>
      </c>
      <c r="P32" s="119">
        <f t="shared" si="5"/>
        <v>238433</v>
      </c>
      <c r="Q32" s="120">
        <f t="shared" si="6"/>
        <v>-256</v>
      </c>
      <c r="R32" s="121">
        <f t="shared" si="7"/>
        <v>-3.4133333333333335E-2</v>
      </c>
      <c r="S32" s="52"/>
      <c r="T32" s="54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</row>
    <row r="33" spans="3:38" ht="15" customHeight="1" x14ac:dyDescent="0.25">
      <c r="C33" s="122">
        <f t="shared" si="4"/>
        <v>10</v>
      </c>
      <c r="D33" s="122" t="s">
        <v>120</v>
      </c>
      <c r="E33" s="146" t="s">
        <v>121</v>
      </c>
      <c r="F33" s="124" t="s">
        <v>57</v>
      </c>
      <c r="G33" s="125" t="s">
        <v>122</v>
      </c>
      <c r="H33" s="147">
        <v>2017</v>
      </c>
      <c r="I33" s="146" t="s">
        <v>60</v>
      </c>
      <c r="J33" s="116"/>
      <c r="K33" s="120">
        <v>112102</v>
      </c>
      <c r="L33" s="158">
        <v>46027</v>
      </c>
      <c r="M33" s="150">
        <v>7500</v>
      </c>
      <c r="N33" s="148">
        <v>104926</v>
      </c>
      <c r="O33" s="159">
        <v>45799</v>
      </c>
      <c r="P33" s="119">
        <f t="shared" si="5"/>
        <v>112426</v>
      </c>
      <c r="Q33" s="120">
        <f t="shared" si="6"/>
        <v>-324</v>
      </c>
      <c r="R33" s="121">
        <f t="shared" si="7"/>
        <v>-4.3200000000000002E-2</v>
      </c>
      <c r="S33" s="52"/>
      <c r="T33" s="54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</row>
    <row r="34" spans="3:38" ht="15" customHeight="1" x14ac:dyDescent="0.25">
      <c r="C34" s="122">
        <f t="shared" si="4"/>
        <v>11</v>
      </c>
      <c r="D34" s="160" t="s">
        <v>123</v>
      </c>
      <c r="E34" s="161" t="s">
        <v>124</v>
      </c>
      <c r="F34" s="124" t="s">
        <v>125</v>
      </c>
      <c r="G34" s="162" t="s">
        <v>126</v>
      </c>
      <c r="H34" s="163">
        <v>2022</v>
      </c>
      <c r="I34" s="146" t="s">
        <v>73</v>
      </c>
      <c r="J34" s="116"/>
      <c r="K34" s="120">
        <v>93720</v>
      </c>
      <c r="L34" s="149">
        <v>46039</v>
      </c>
      <c r="M34" s="150">
        <v>10000</v>
      </c>
      <c r="N34" s="120"/>
      <c r="O34" s="164"/>
      <c r="P34" s="119"/>
      <c r="Q34" s="120"/>
      <c r="R34" s="121"/>
      <c r="S34" s="52" t="s">
        <v>127</v>
      </c>
      <c r="T34" s="54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</row>
    <row r="35" spans="3:38" ht="15" customHeight="1" thickBot="1" x14ac:dyDescent="0.3">
      <c r="C35" s="122">
        <f t="shared" si="4"/>
        <v>12</v>
      </c>
      <c r="D35" s="160" t="s">
        <v>128</v>
      </c>
      <c r="E35" s="161" t="s">
        <v>129</v>
      </c>
      <c r="F35" s="124" t="s">
        <v>125</v>
      </c>
      <c r="G35" s="162" t="s">
        <v>130</v>
      </c>
      <c r="H35" s="163">
        <v>2022</v>
      </c>
      <c r="I35" s="146" t="s">
        <v>73</v>
      </c>
      <c r="J35" s="116"/>
      <c r="K35" s="120"/>
      <c r="L35" s="149"/>
      <c r="M35" s="150">
        <v>10000</v>
      </c>
      <c r="N35" s="120"/>
      <c r="O35" s="164"/>
      <c r="P35" s="119"/>
      <c r="Q35" s="120"/>
      <c r="R35" s="121"/>
      <c r="S35" s="52" t="s">
        <v>127</v>
      </c>
      <c r="T35" s="54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</row>
    <row r="36" spans="3:38" ht="15" customHeight="1" thickBot="1" x14ac:dyDescent="0.3">
      <c r="C36" s="122">
        <f t="shared" si="4"/>
        <v>13</v>
      </c>
      <c r="D36" s="113" t="s">
        <v>131</v>
      </c>
      <c r="E36" s="85" t="s">
        <v>132</v>
      </c>
      <c r="F36" s="165" t="s">
        <v>111</v>
      </c>
      <c r="G36" s="85" t="s">
        <v>133</v>
      </c>
      <c r="H36" s="113">
        <v>2022</v>
      </c>
      <c r="I36" s="146"/>
      <c r="J36" s="116"/>
      <c r="K36" s="114">
        <v>91871</v>
      </c>
      <c r="L36" s="149">
        <v>46022</v>
      </c>
      <c r="M36" s="150">
        <v>10000</v>
      </c>
      <c r="N36" s="120"/>
      <c r="O36" s="164"/>
      <c r="P36" s="119"/>
      <c r="Q36" s="120"/>
      <c r="R36" s="121"/>
      <c r="S36" s="52"/>
      <c r="T36" s="54"/>
      <c r="U36" s="166" t="s">
        <v>131</v>
      </c>
      <c r="V36" s="55" t="s">
        <v>132</v>
      </c>
      <c r="W36" s="167" t="s">
        <v>111</v>
      </c>
      <c r="X36" s="55" t="s">
        <v>133</v>
      </c>
      <c r="Y36" s="44">
        <v>2022</v>
      </c>
      <c r="Z36" s="55" t="s">
        <v>60</v>
      </c>
      <c r="AA36" s="44" t="s">
        <v>134</v>
      </c>
      <c r="AB36" s="55">
        <v>81268865055</v>
      </c>
      <c r="AC36" s="58"/>
      <c r="AD36" s="88">
        <v>92265</v>
      </c>
      <c r="AE36" s="60">
        <v>46039</v>
      </c>
      <c r="AF36" s="88">
        <v>10000</v>
      </c>
      <c r="AG36" s="88">
        <v>92265</v>
      </c>
      <c r="AH36" s="168">
        <v>46037</v>
      </c>
      <c r="AI36" s="70">
        <v>102265</v>
      </c>
      <c r="AJ36" s="71">
        <v>46173</v>
      </c>
      <c r="AK36" s="72">
        <v>-10000</v>
      </c>
      <c r="AL36" s="73">
        <v>-1</v>
      </c>
    </row>
    <row r="37" spans="3:38" ht="30.75" thickBot="1" x14ac:dyDescent="0.3">
      <c r="C37" s="122">
        <f t="shared" si="4"/>
        <v>14</v>
      </c>
      <c r="D37" s="160" t="s">
        <v>135</v>
      </c>
      <c r="E37" s="161" t="s">
        <v>136</v>
      </c>
      <c r="F37" s="124" t="s">
        <v>125</v>
      </c>
      <c r="G37" s="162" t="s">
        <v>137</v>
      </c>
      <c r="H37" s="163">
        <v>2022</v>
      </c>
      <c r="I37" s="146" t="s">
        <v>73</v>
      </c>
      <c r="J37" s="116"/>
      <c r="K37" s="120">
        <v>808382</v>
      </c>
      <c r="L37" s="149">
        <v>46039</v>
      </c>
      <c r="M37" s="150">
        <v>10000</v>
      </c>
      <c r="N37" s="120"/>
      <c r="O37" s="164"/>
      <c r="P37" s="119"/>
      <c r="Q37" s="120"/>
      <c r="R37" s="121"/>
      <c r="S37" s="52" t="s">
        <v>127</v>
      </c>
      <c r="T37" s="54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</row>
    <row r="38" spans="3:38" ht="15.75" thickBot="1" x14ac:dyDescent="0.3">
      <c r="C38" s="122">
        <f t="shared" si="4"/>
        <v>15</v>
      </c>
      <c r="D38" s="113" t="s">
        <v>138</v>
      </c>
      <c r="E38" s="85" t="s">
        <v>139</v>
      </c>
      <c r="F38" s="165" t="s">
        <v>111</v>
      </c>
      <c r="G38" s="85" t="s">
        <v>140</v>
      </c>
      <c r="H38" s="113">
        <v>2022</v>
      </c>
      <c r="I38" s="146"/>
      <c r="J38" s="116"/>
      <c r="K38" s="114">
        <v>71465</v>
      </c>
      <c r="L38" s="149">
        <v>46031</v>
      </c>
      <c r="M38" s="150">
        <v>10000</v>
      </c>
      <c r="N38" s="120"/>
      <c r="O38" s="164"/>
      <c r="P38" s="119"/>
      <c r="Q38" s="120"/>
      <c r="R38" s="121"/>
      <c r="S38" s="52"/>
      <c r="T38" s="54"/>
      <c r="U38" s="166" t="s">
        <v>138</v>
      </c>
      <c r="V38" s="55" t="s">
        <v>139</v>
      </c>
      <c r="W38" s="167" t="s">
        <v>111</v>
      </c>
      <c r="X38" s="55" t="s">
        <v>140</v>
      </c>
      <c r="Y38" s="44">
        <v>2022</v>
      </c>
      <c r="Z38" s="55" t="s">
        <v>60</v>
      </c>
      <c r="AA38" s="58"/>
      <c r="AB38" s="58"/>
      <c r="AC38" s="58"/>
      <c r="AD38" s="88">
        <v>72828</v>
      </c>
      <c r="AE38" s="95">
        <v>46049</v>
      </c>
      <c r="AF38" s="88">
        <v>10000</v>
      </c>
      <c r="AG38" s="88">
        <v>72828</v>
      </c>
      <c r="AH38" s="90">
        <v>46049</v>
      </c>
      <c r="AI38" s="70">
        <v>82828</v>
      </c>
      <c r="AJ38" s="71">
        <v>46183</v>
      </c>
      <c r="AK38" s="72">
        <v>-10000</v>
      </c>
      <c r="AL38" s="73">
        <v>-1</v>
      </c>
    </row>
    <row r="39" spans="3:38" ht="30" x14ac:dyDescent="0.25">
      <c r="C39" s="122">
        <f t="shared" si="4"/>
        <v>16</v>
      </c>
      <c r="D39" s="160" t="s">
        <v>141</v>
      </c>
      <c r="E39" s="161" t="s">
        <v>142</v>
      </c>
      <c r="F39" s="124" t="s">
        <v>125</v>
      </c>
      <c r="G39" s="162" t="s">
        <v>143</v>
      </c>
      <c r="H39" s="163">
        <v>2022</v>
      </c>
      <c r="I39" s="146" t="s">
        <v>73</v>
      </c>
      <c r="J39" s="116"/>
      <c r="K39" s="120">
        <v>77729</v>
      </c>
      <c r="L39" s="149">
        <v>46039</v>
      </c>
      <c r="M39" s="150">
        <v>10000</v>
      </c>
      <c r="N39" s="120"/>
      <c r="O39" s="164"/>
      <c r="P39" s="119"/>
      <c r="Q39" s="120"/>
      <c r="R39" s="121"/>
      <c r="S39" s="52" t="s">
        <v>127</v>
      </c>
      <c r="T39" s="54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</row>
    <row r="40" spans="3:38" ht="30.75" thickBot="1" x14ac:dyDescent="0.3">
      <c r="C40" s="122">
        <f t="shared" si="4"/>
        <v>17</v>
      </c>
      <c r="D40" s="160" t="s">
        <v>144</v>
      </c>
      <c r="E40" s="161" t="s">
        <v>145</v>
      </c>
      <c r="F40" s="124" t="s">
        <v>125</v>
      </c>
      <c r="G40" s="162" t="s">
        <v>146</v>
      </c>
      <c r="H40" s="163">
        <v>2022</v>
      </c>
      <c r="I40" s="146" t="s">
        <v>73</v>
      </c>
      <c r="J40" s="116"/>
      <c r="K40" s="120">
        <v>89250</v>
      </c>
      <c r="L40" s="149">
        <v>46039</v>
      </c>
      <c r="M40" s="150">
        <v>10000</v>
      </c>
      <c r="N40" s="120"/>
      <c r="O40" s="164"/>
      <c r="P40" s="119"/>
      <c r="Q40" s="120"/>
      <c r="R40" s="121"/>
      <c r="S40" s="52" t="s">
        <v>127</v>
      </c>
      <c r="T40" s="54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</row>
    <row r="41" spans="3:38" ht="15.75" thickBot="1" x14ac:dyDescent="0.3">
      <c r="C41" s="122">
        <f t="shared" si="4"/>
        <v>18</v>
      </c>
      <c r="D41" s="85" t="s">
        <v>147</v>
      </c>
      <c r="E41" s="85" t="s">
        <v>148</v>
      </c>
      <c r="F41" s="111" t="s">
        <v>149</v>
      </c>
      <c r="G41" s="113" t="s">
        <v>150</v>
      </c>
      <c r="H41" s="110">
        <v>2023</v>
      </c>
      <c r="I41" s="114"/>
      <c r="J41" s="114"/>
      <c r="K41" s="169">
        <v>57565</v>
      </c>
      <c r="L41" s="154">
        <v>46035</v>
      </c>
      <c r="M41" s="150">
        <v>10000</v>
      </c>
      <c r="N41" s="117">
        <v>48156</v>
      </c>
      <c r="O41" s="118">
        <v>45940</v>
      </c>
      <c r="P41" s="119">
        <f t="shared" si="5"/>
        <v>58156</v>
      </c>
      <c r="Q41" s="120">
        <f t="shared" ref="Q41" si="8">K41-P41</f>
        <v>-591</v>
      </c>
      <c r="R41" s="121">
        <f t="shared" ref="R41" si="9">(Q41/M41)*100%</f>
        <v>-5.91E-2</v>
      </c>
      <c r="S41" s="53"/>
      <c r="T41" s="54"/>
      <c r="U41" s="55" t="s">
        <v>147</v>
      </c>
      <c r="V41" s="55" t="s">
        <v>148</v>
      </c>
      <c r="W41" s="41" t="s">
        <v>149</v>
      </c>
      <c r="X41" s="44" t="s">
        <v>150</v>
      </c>
      <c r="Y41" s="56">
        <v>2023</v>
      </c>
      <c r="Z41" s="40" t="s">
        <v>31</v>
      </c>
      <c r="AA41" s="58"/>
      <c r="AB41" s="58"/>
      <c r="AC41" s="58"/>
      <c r="AD41" s="59">
        <v>57565</v>
      </c>
      <c r="AE41" s="60">
        <v>46035</v>
      </c>
      <c r="AF41" s="88">
        <v>10000</v>
      </c>
      <c r="AG41" s="59">
        <v>57565</v>
      </c>
      <c r="AH41" s="170">
        <v>46035</v>
      </c>
      <c r="AI41" s="171">
        <v>67565</v>
      </c>
      <c r="AJ41" s="172">
        <v>46201</v>
      </c>
      <c r="AK41" s="173">
        <v>-10000</v>
      </c>
      <c r="AL41" s="174">
        <v>-1</v>
      </c>
    </row>
    <row r="42" spans="3:38" ht="15.75" thickBot="1" x14ac:dyDescent="0.3">
      <c r="T42" s="107"/>
    </row>
    <row r="43" spans="3:38" ht="15.75" thickBot="1" x14ac:dyDescent="0.3">
      <c r="T43" s="107"/>
      <c r="U43" s="113" t="s">
        <v>151</v>
      </c>
      <c r="V43" s="85" t="s">
        <v>152</v>
      </c>
      <c r="W43" s="165" t="s">
        <v>111</v>
      </c>
      <c r="X43" s="85" t="s">
        <v>153</v>
      </c>
      <c r="Y43" s="113">
        <v>2022</v>
      </c>
      <c r="Z43" s="85" t="s">
        <v>60</v>
      </c>
      <c r="AA43" s="175"/>
      <c r="AB43" s="175"/>
      <c r="AC43" s="175"/>
      <c r="AD43" s="153">
        <v>88239</v>
      </c>
      <c r="AE43" s="154">
        <v>46039</v>
      </c>
      <c r="AF43" s="153">
        <v>10000</v>
      </c>
      <c r="AG43" s="153">
        <v>88239</v>
      </c>
      <c r="AH43" s="176">
        <v>46039</v>
      </c>
      <c r="AI43" s="177">
        <v>98239</v>
      </c>
      <c r="AJ43" s="172">
        <v>46173</v>
      </c>
      <c r="AK43" s="173">
        <v>-10000</v>
      </c>
      <c r="AL43" s="174">
        <v>-1</v>
      </c>
    </row>
    <row r="44" spans="3:38" ht="15.75" thickBot="1" x14ac:dyDescent="0.3">
      <c r="T44" s="107"/>
      <c r="U44" s="113" t="s">
        <v>154</v>
      </c>
      <c r="V44" s="85" t="s">
        <v>155</v>
      </c>
      <c r="W44" s="175"/>
      <c r="X44" s="85" t="s">
        <v>156</v>
      </c>
      <c r="Y44" s="85">
        <v>2022</v>
      </c>
      <c r="Z44" s="85" t="s">
        <v>73</v>
      </c>
      <c r="AA44" s="175"/>
      <c r="AB44" s="175"/>
      <c r="AC44" s="175"/>
      <c r="AD44" s="153">
        <v>63495</v>
      </c>
      <c r="AE44" s="154">
        <v>46039</v>
      </c>
      <c r="AF44" s="153">
        <v>10000</v>
      </c>
      <c r="AG44" s="153">
        <v>63495</v>
      </c>
      <c r="AH44" s="178">
        <v>46041</v>
      </c>
      <c r="AI44" s="177">
        <v>73495</v>
      </c>
      <c r="AJ44" s="172">
        <v>46173</v>
      </c>
      <c r="AK44" s="173">
        <v>-10000</v>
      </c>
      <c r="AL44" s="174">
        <v>-1</v>
      </c>
    </row>
    <row r="45" spans="3:38" ht="15.75" thickBot="1" x14ac:dyDescent="0.3">
      <c r="T45" s="107"/>
      <c r="U45" s="113" t="s">
        <v>157</v>
      </c>
      <c r="V45" s="85" t="s">
        <v>158</v>
      </c>
      <c r="W45" s="165" t="s">
        <v>111</v>
      </c>
      <c r="X45" s="85" t="s">
        <v>159</v>
      </c>
      <c r="Y45" s="113">
        <v>2022</v>
      </c>
      <c r="Z45" s="85" t="s">
        <v>60</v>
      </c>
      <c r="AA45" s="175"/>
      <c r="AB45" s="175"/>
      <c r="AC45" s="175"/>
      <c r="AD45" s="153">
        <v>74931</v>
      </c>
      <c r="AE45" s="179">
        <v>46015</v>
      </c>
      <c r="AF45" s="153">
        <v>10000</v>
      </c>
      <c r="AG45" s="153">
        <v>73975</v>
      </c>
      <c r="AH45" s="176">
        <v>46013</v>
      </c>
      <c r="AI45" s="177">
        <v>83975</v>
      </c>
      <c r="AJ45" s="172">
        <v>46136</v>
      </c>
      <c r="AK45" s="173">
        <v>-9044</v>
      </c>
      <c r="AL45" s="174">
        <v>-0.9</v>
      </c>
    </row>
    <row r="46" spans="3:38" x14ac:dyDescent="0.25">
      <c r="C46" t="s">
        <v>160</v>
      </c>
    </row>
    <row r="47" spans="3:38" x14ac:dyDescent="0.25">
      <c r="C47" t="s">
        <v>161</v>
      </c>
      <c r="F47">
        <f>C41+C21</f>
        <v>28</v>
      </c>
    </row>
    <row r="48" spans="3:38" x14ac:dyDescent="0.25">
      <c r="C48" s="180" t="s">
        <v>162</v>
      </c>
      <c r="D48" s="180"/>
      <c r="E48" s="180"/>
      <c r="F48" s="180">
        <f>COUNT(AH12:AH41)</f>
        <v>14</v>
      </c>
    </row>
    <row r="49" spans="3:6" x14ac:dyDescent="0.25">
      <c r="C49" t="s">
        <v>163</v>
      </c>
      <c r="F49" s="181">
        <f>(F48/F47)*100%</f>
        <v>0.5</v>
      </c>
    </row>
  </sheetData>
  <mergeCells count="16">
    <mergeCell ref="Q7:Q8"/>
    <mergeCell ref="R7:R8"/>
    <mergeCell ref="S7:S8"/>
    <mergeCell ref="U7:AH7"/>
    <mergeCell ref="I7:I8"/>
    <mergeCell ref="J7:J8"/>
    <mergeCell ref="K7:L7"/>
    <mergeCell ref="M7:M8"/>
    <mergeCell ref="N7:O7"/>
    <mergeCell ref="P7:P8"/>
    <mergeCell ref="C7:C8"/>
    <mergeCell ref="D7:D8"/>
    <mergeCell ref="E7:E8"/>
    <mergeCell ref="F7:F8"/>
    <mergeCell ref="G7:G8"/>
    <mergeCell ref="H7:H8"/>
  </mergeCells>
  <conditionalFormatting sqref="G31:G33 H17:H18">
    <cfRule type="expression" dxfId="36" priority="34">
      <formula>OR(AND(YEAR(G17)=YEAR(TODAY()), MONTH(G17)-1=MONTH(TODAY())), AND(YEAR(G17)-1=YEAR(TODAY()), MONTH(G17)=1, MONTH(TODAY())=12))</formula>
    </cfRule>
    <cfRule type="expression" dxfId="35" priority="35">
      <formula>AND(YEAR(G17)=YEAR(TODAY()), MONTH(G17)=MONTH(TODAY()))</formula>
    </cfRule>
    <cfRule type="cellIs" dxfId="34" priority="36" operator="between">
      <formula>TODAY()</formula>
      <formula>TODAY()+90</formula>
    </cfRule>
    <cfRule type="cellIs" dxfId="33" priority="37" operator="between">
      <formula>TODAY()+70</formula>
      <formula>TODAY()+40000</formula>
    </cfRule>
  </conditionalFormatting>
  <conditionalFormatting sqref="G34:G35 G37 G39:G40">
    <cfRule type="expression" dxfId="32" priority="30">
      <formula>OR(AND(YEAR(G34)=YEAR(TODAY()), MONTH(G34)-1=MONTH(TODAY())), AND(YEAR(G34)-1=YEAR(TODAY()), MONTH(G34)=1, MONTH(TODAY())=12))</formula>
    </cfRule>
    <cfRule type="expression" dxfId="31" priority="31">
      <formula>AND(YEAR(G34)=YEAR(TODAY()), MONTH(G34)=MONTH(TODAY()))</formula>
    </cfRule>
    <cfRule type="cellIs" dxfId="30" priority="32" operator="between">
      <formula>TODAY()</formula>
      <formula>TODAY()+90</formula>
    </cfRule>
    <cfRule type="cellIs" dxfId="29" priority="33" operator="between">
      <formula>TODAY()+70</formula>
      <formula>TODAY()+40000</formula>
    </cfRule>
  </conditionalFormatting>
  <conditionalFormatting sqref="H31:H33">
    <cfRule type="expression" dxfId="28" priority="26">
      <formula>OR(AND(YEAR(H31)=YEAR(TODAY()), MONTH(H31)-1=MONTH(TODAY())), AND(YEAR(H31)-1=YEAR(TODAY()), MONTH(H31)=1, MONTH(TODAY())=12))</formula>
    </cfRule>
    <cfRule type="expression" dxfId="27" priority="27">
      <formula>AND(YEAR(H31)=YEAR(TODAY()), MONTH(H31)=MONTH(TODAY()))</formula>
    </cfRule>
    <cfRule type="cellIs" dxfId="26" priority="28" operator="between">
      <formula>TODAY()</formula>
      <formula>TODAY()+90</formula>
    </cfRule>
    <cfRule type="cellIs" dxfId="25" priority="29" operator="between">
      <formula>TODAY()+70</formula>
      <formula>TODAY()+40000</formula>
    </cfRule>
  </conditionalFormatting>
  <conditionalFormatting sqref="H34:H35 H37 H39:H40">
    <cfRule type="expression" dxfId="24" priority="22">
      <formula>OR(AND(YEAR(H34)=YEAR(TODAY()), MONTH(H34)-1=MONTH(TODAY())), AND(YEAR(H34)-1=YEAR(TODAY()), MONTH(H34)=1, MONTH(TODAY())=12))</formula>
    </cfRule>
    <cfRule type="expression" dxfId="23" priority="23">
      <formula>AND(YEAR(H34)=YEAR(TODAY()), MONTH(H34)=MONTH(TODAY()))</formula>
    </cfRule>
    <cfRule type="cellIs" dxfId="22" priority="24" operator="between">
      <formula>TODAY()</formula>
      <formula>TODAY()+90</formula>
    </cfRule>
    <cfRule type="cellIs" dxfId="21" priority="25" operator="between">
      <formula>TODAY()+70</formula>
      <formula>TODAY()+40000</formula>
    </cfRule>
  </conditionalFormatting>
  <conditionalFormatting sqref="L19 L12:L14 L25 L21:L23 L16:L17 L34:L40">
    <cfRule type="containsBlanks" dxfId="20" priority="13">
      <formula>LEN(TRIM(L12))=0</formula>
    </cfRule>
  </conditionalFormatting>
  <conditionalFormatting sqref="L29 L31:L33">
    <cfRule type="containsBlanks" dxfId="19" priority="18">
      <formula>LEN(TRIM(L29))=0</formula>
    </cfRule>
  </conditionalFormatting>
  <conditionalFormatting sqref="L29 L19 L12:L14 L25 L21:L23 L16:L17 L31:L40">
    <cfRule type="cellIs" dxfId="18" priority="19" operator="greaterThan">
      <formula>NOW()-7</formula>
    </cfRule>
  </conditionalFormatting>
  <conditionalFormatting sqref="L29 L19 L12:L14 L25 L21:L23 L16:L17 L31:L40">
    <cfRule type="cellIs" dxfId="17" priority="20" operator="between">
      <formula>NOW()-30</formula>
      <formula>NOW()-7</formula>
    </cfRule>
  </conditionalFormatting>
  <conditionalFormatting sqref="L29 L19 L12:L14 L25 L21:L23 L16:L17 L31:L40">
    <cfRule type="cellIs" dxfId="16" priority="21" operator="lessThan">
      <formula>NOW()-30</formula>
    </cfRule>
  </conditionalFormatting>
  <conditionalFormatting sqref="L26">
    <cfRule type="containsBlanks" dxfId="15" priority="14">
      <formula>LEN(TRIM(L26))=0</formula>
    </cfRule>
  </conditionalFormatting>
  <conditionalFormatting sqref="L26">
    <cfRule type="cellIs" dxfId="14" priority="15" operator="greaterThan">
      <formula>NOW()-7</formula>
    </cfRule>
  </conditionalFormatting>
  <conditionalFormatting sqref="L26">
    <cfRule type="cellIs" dxfId="13" priority="16" operator="between">
      <formula>NOW()-30</formula>
      <formula>NOW()-7</formula>
    </cfRule>
  </conditionalFormatting>
  <conditionalFormatting sqref="L26">
    <cfRule type="cellIs" dxfId="12" priority="17" operator="lessThan">
      <formula>NOW()-30</formula>
    </cfRule>
  </conditionalFormatting>
  <conditionalFormatting sqref="L18">
    <cfRule type="containsBlanks" dxfId="11" priority="5">
      <formula>LEN(TRIM(L18))=0</formula>
    </cfRule>
  </conditionalFormatting>
  <conditionalFormatting sqref="L18">
    <cfRule type="cellIs" dxfId="10" priority="6" operator="greaterThan">
      <formula>NOW()-7</formula>
    </cfRule>
  </conditionalFormatting>
  <conditionalFormatting sqref="L18">
    <cfRule type="cellIs" dxfId="9" priority="7" operator="between">
      <formula>NOW()-30</formula>
      <formula>NOW()-7</formula>
    </cfRule>
  </conditionalFormatting>
  <conditionalFormatting sqref="L18">
    <cfRule type="cellIs" dxfId="8" priority="8" operator="lessThan">
      <formula>NOW()-30</formula>
    </cfRule>
  </conditionalFormatting>
  <conditionalFormatting sqref="L15">
    <cfRule type="containsBlanks" dxfId="7" priority="9">
      <formula>LEN(TRIM(L15))=0</formula>
    </cfRule>
  </conditionalFormatting>
  <conditionalFormatting sqref="L15">
    <cfRule type="cellIs" dxfId="6" priority="10" operator="greaterThan">
      <formula>NOW()-7</formula>
    </cfRule>
  </conditionalFormatting>
  <conditionalFormatting sqref="L15">
    <cfRule type="cellIs" dxfId="5" priority="11" operator="between">
      <formula>NOW()-30</formula>
      <formula>NOW()-7</formula>
    </cfRule>
  </conditionalFormatting>
  <conditionalFormatting sqref="L15">
    <cfRule type="cellIs" dxfId="4" priority="12" operator="lessThan">
      <formula>NOW()-30</formula>
    </cfRule>
  </conditionalFormatting>
  <conditionalFormatting sqref="L20">
    <cfRule type="containsBlanks" dxfId="3" priority="1">
      <formula>LEN(TRIM(L20))=0</formula>
    </cfRule>
  </conditionalFormatting>
  <conditionalFormatting sqref="L20">
    <cfRule type="cellIs" dxfId="2" priority="2" operator="greaterThan">
      <formula>NOW()-7</formula>
    </cfRule>
  </conditionalFormatting>
  <conditionalFormatting sqref="L20">
    <cfRule type="cellIs" dxfId="1" priority="3" operator="between">
      <formula>NOW()-30</formula>
      <formula>NOW()-7</formula>
    </cfRule>
  </conditionalFormatting>
  <conditionalFormatting sqref="L20">
    <cfRule type="cellIs" dxfId="0" priority="4" operator="lessThan">
      <formula>NOW()-30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Compare Renc vs Realisasi</vt:lpstr>
      <vt:lpstr>'Compare Renc vs Realisasi'!Print_Area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MyLaptop</cp:lastModifiedBy>
  <dcterms:created xsi:type="dcterms:W3CDTF">2026-01-28T23:28:49Z</dcterms:created>
  <dcterms:modified xsi:type="dcterms:W3CDTF">2026-01-28T23:31:47Z</dcterms:modified>
</cp:coreProperties>
</file>