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20be22dd0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" sheetId="1" r:id="Raad2e3c0eee04e04"/>
    <x:sheet xmlns:r="http://schemas.openxmlformats.org/officeDocument/2006/relationships" name="Input Harian" sheetId="2" r:id="R004975c03a754419"/>
    <x:sheet xmlns:r="http://schemas.openxmlformats.org/officeDocument/2006/relationships" name="Dashboard" sheetId="3" r:id="R561bc9fd61e84bb9"/>
    <x:sheet xmlns:r="http://schemas.openxmlformats.org/officeDocument/2006/relationships" name="Form Cetak" sheetId="4" r:id="R9faea8853a33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"/>
    <x:numFmt numFmtId="202" formatCode="0%"/>
    <x:numFmt numFmtId="203" formatCode="dd-mmm-yyyy"/>
    <x:numFmt numFmtId="204" formatCode="0.0"/>
    <x:numFmt numFmtId="205" formatCode="&quot;Rp&quot; #,##0"/>
    <x:numFmt numFmtId="206" formatCode="dd-mmm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20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</x:fills>
  <x:borders count="72">
    <x:border/>
    <x:border/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</x:borders>
  <x:cellStyleXfs count="1">
    <x:xf numFmtId="0" fontId="0" fillId="0" borderId="0"/>
  </x:cellStyleXfs>
  <x:cellXfs count="3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/>
    <x:xf numFmtId="0" fontId="2" fillId="3" borderId="6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2" fillId="3" borderId="13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/>
    <x:xf numFmtId="0" fontId="2" fillId="3" borderId="14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left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left" wrapText="1"/>
    </x:xf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20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horizontal="center" wrapText="1"/>
    </x:xf>
    <x:xf numFmtId="0" fontId="2" fillId="3" borderId="22" xfId="0" applyNumberFormat="1" applyFont="1" applyFill="1" applyBorder="1" applyAlignment="1">
      <x:alignment horizontal="center" wrapText="1"/>
    </x:xf>
    <x:xf numFmtId="0" fontId="2" fillId="3" borderId="23" xfId="0" applyNumberFormat="1" applyFont="1" applyFill="1" applyBorder="1" applyAlignment="1">
      <x:alignment horizont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2" fillId="3" borderId="22" xfId="0" applyNumberFormat="1" applyFont="1" applyFill="1" applyBorder="1" applyAlignment="1">
      <x:alignment horizontal="center" vertical="center" wrapText="1"/>
    </x:xf>
    <x:xf numFmtId="0" fontId="2" fillId="3" borderId="23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0" borderId="24" xfId="0" applyNumberFormat="1" applyFont="1" applyFill="1" applyBorder="1"/>
    <x:xf numFmtId="203" fontId="0" fillId="0" borderId="25" xfId="0" applyNumberFormat="1" applyFont="1" applyFill="1" applyBorder="1"/>
    <x:xf numFmtId="0" fontId="0" fillId="0" borderId="25" xfId="0" applyNumberFormat="1" applyFont="1" applyFill="1" applyBorder="1"/>
    <x:xf numFmtId="204" fontId="0" fillId="0" borderId="25" xfId="0" applyNumberFormat="1" applyFont="1" applyFill="1" applyBorder="1"/>
    <x:xf numFmtId="200" fontId="0" fillId="0" borderId="25" xfId="0" applyNumberFormat="1" applyFont="1" applyFill="1" applyBorder="1"/>
    <x:xf numFmtId="201" fontId="0" fillId="0" borderId="25" xfId="0" applyNumberFormat="1" applyFont="1" applyFill="1" applyBorder="1"/>
    <x:xf numFmtId="205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203" fontId="0" fillId="0" borderId="30" xfId="0" applyNumberFormat="1" applyFont="1" applyFill="1" applyBorder="1"/>
    <x:xf numFmtId="0" fontId="0" fillId="0" borderId="30" xfId="0" applyNumberFormat="1" applyFont="1" applyFill="1" applyBorder="1"/>
    <x:xf numFmtId="204" fontId="0" fillId="0" borderId="30" xfId="0" applyNumberFormat="1" applyFont="1" applyFill="1" applyBorder="1"/>
    <x:xf numFmtId="200" fontId="0" fillId="0" borderId="30" xfId="0" applyNumberFormat="1" applyFont="1" applyFill="1" applyBorder="1"/>
    <x:xf numFmtId="201" fontId="0" fillId="0" borderId="30" xfId="0" applyNumberFormat="1" applyFont="1" applyFill="1" applyBorder="1"/>
    <x:xf numFmtId="205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203" fontId="0" fillId="0" borderId="33" xfId="0" applyNumberFormat="1" applyFont="1" applyFill="1" applyBorder="1"/>
    <x:xf numFmtId="0" fontId="0" fillId="0" borderId="33" xfId="0" applyNumberFormat="1" applyFont="1" applyFill="1" applyBorder="1"/>
    <x:xf numFmtId="204" fontId="0" fillId="0" borderId="33" xfId="0" applyNumberFormat="1" applyFont="1" applyFill="1" applyBorder="1"/>
    <x:xf numFmtId="200" fontId="0" fillId="0" borderId="33" xfId="0" applyNumberFormat="1" applyFont="1" applyFill="1" applyBorder="1"/>
    <x:xf numFmtId="201" fontId="0" fillId="0" borderId="33" xfId="0" applyNumberFormat="1" applyFont="1" applyFill="1" applyBorder="1"/>
    <x:xf numFmtId="205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203" fontId="0" fillId="0" borderId="38" xfId="0" applyNumberFormat="1" applyFont="1" applyFill="1" applyBorder="1"/>
    <x:xf numFmtId="0" fontId="0" fillId="0" borderId="38" xfId="0" applyNumberFormat="1" applyFont="1" applyFill="1" applyBorder="1"/>
    <x:xf numFmtId="204" fontId="0" fillId="0" borderId="38" xfId="0" applyNumberFormat="1" applyFont="1" applyFill="1" applyBorder="1"/>
    <x:xf numFmtId="200" fontId="0" fillId="0" borderId="38" xfId="0" applyNumberFormat="1" applyFont="1" applyFill="1" applyBorder="1"/>
    <x:xf numFmtId="201" fontId="0" fillId="0" borderId="38" xfId="0" applyNumberFormat="1" applyFont="1" applyFill="1" applyBorder="1"/>
    <x:xf numFmtId="205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24" xfId="0" applyNumberFormat="1" applyFont="1" applyFill="1" applyBorder="1" applyAlignment="1">
      <x:alignment vertical="center"/>
    </x:xf>
    <x:xf numFmtId="203" fontId="0" fillId="0" borderId="25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204" fontId="0" fillId="0" borderId="25" xfId="0" applyNumberFormat="1" applyFont="1" applyFill="1" applyBorder="1" applyAlignment="1">
      <x:alignment vertical="center"/>
    </x:xf>
    <x:xf numFmtId="200" fontId="0" fillId="0" borderId="25" xfId="0" applyNumberFormat="1" applyFont="1" applyFill="1" applyBorder="1" applyAlignment="1">
      <x:alignment vertical="center"/>
    </x:xf>
    <x:xf numFmtId="201" fontId="0" fillId="0" borderId="25" xfId="0" applyNumberFormat="1" applyFont="1" applyFill="1" applyBorder="1" applyAlignment="1">
      <x:alignment vertical="center"/>
    </x:xf>
    <x:xf numFmtId="205" fontId="0" fillId="0" borderId="25" xfId="0" applyNumberFormat="1" applyFont="1" applyFill="1" applyBorder="1" applyAlignment="1">
      <x:alignment vertical="center"/>
    </x:xf>
    <x:xf numFmtId="0" fontId="0" fillId="0" borderId="26" xfId="0" applyNumberFormat="1" applyFont="1" applyFill="1" applyBorder="1" applyAlignment="1">
      <x:alignment vertical="center"/>
    </x:xf>
    <x:xf numFmtId="0" fontId="0" fillId="0" borderId="27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0" borderId="28" xfId="0" applyNumberFormat="1" applyFont="1" applyFill="1" applyBorder="1" applyAlignment="1">
      <x:alignment vertical="center"/>
    </x:xf>
    <x:xf numFmtId="0" fontId="0" fillId="0" borderId="29" xfId="0" applyNumberFormat="1" applyFont="1" applyFill="1" applyBorder="1" applyAlignment="1">
      <x:alignment vertical="center"/>
    </x:xf>
    <x:xf numFmtId="203" fontId="0" fillId="0" borderId="30" xfId="0" applyNumberFormat="1" applyFont="1" applyFill="1" applyBorder="1" applyAlignment="1">
      <x:alignment vertical="center"/>
    </x:xf>
    <x:xf numFmtId="0" fontId="0" fillId="0" borderId="30" xfId="0" applyNumberFormat="1" applyFont="1" applyFill="1" applyBorder="1" applyAlignment="1">
      <x:alignment vertical="center"/>
    </x:xf>
    <x:xf numFmtId="204" fontId="0" fillId="0" borderId="30" xfId="0" applyNumberFormat="1" applyFont="1" applyFill="1" applyBorder="1" applyAlignment="1">
      <x:alignment vertical="center"/>
    </x:xf>
    <x:xf numFmtId="200" fontId="0" fillId="0" borderId="30" xfId="0" applyNumberFormat="1" applyFont="1" applyFill="1" applyBorder="1" applyAlignment="1">
      <x:alignment vertical="center"/>
    </x:xf>
    <x:xf numFmtId="201" fontId="0" fillId="0" borderId="30" xfId="0" applyNumberFormat="1" applyFont="1" applyFill="1" applyBorder="1" applyAlignment="1">
      <x:alignment vertical="center"/>
    </x:xf>
    <x:xf numFmtId="205" fontId="0" fillId="0" borderId="30" xfId="0" applyNumberFormat="1" applyFont="1" applyFill="1" applyBorder="1" applyAlignment="1">
      <x:alignment vertical="center"/>
    </x:xf>
    <x:xf numFmtId="0" fontId="0" fillId="0" borderId="31" xfId="0" applyNumberFormat="1" applyFont="1" applyFill="1" applyBorder="1" applyAlignment="1">
      <x:alignment vertical="center"/>
    </x:xf>
    <x:xf numFmtId="0" fontId="0" fillId="0" borderId="32" xfId="0" applyNumberFormat="1" applyFont="1" applyFill="1" applyBorder="1" applyAlignment="1">
      <x:alignment vertical="center"/>
    </x:xf>
    <x:xf numFmtId="203" fontId="0" fillId="0" borderId="33" xfId="0" applyNumberFormat="1" applyFont="1" applyFill="1" applyBorder="1" applyAlignment="1">
      <x:alignment vertical="center"/>
    </x:xf>
    <x:xf numFmtId="0" fontId="0" fillId="0" borderId="33" xfId="0" applyNumberFormat="1" applyFont="1" applyFill="1" applyBorder="1" applyAlignment="1">
      <x:alignment vertical="center"/>
    </x:xf>
    <x:xf numFmtId="204" fontId="0" fillId="0" borderId="33" xfId="0" applyNumberFormat="1" applyFont="1" applyFill="1" applyBorder="1" applyAlignment="1">
      <x:alignment vertical="center"/>
    </x:xf>
    <x:xf numFmtId="200" fontId="0" fillId="0" borderId="33" xfId="0" applyNumberFormat="1" applyFont="1" applyFill="1" applyBorder="1" applyAlignment="1">
      <x:alignment vertical="center"/>
    </x:xf>
    <x:xf numFmtId="201" fontId="0" fillId="0" borderId="33" xfId="0" applyNumberFormat="1" applyFont="1" applyFill="1" applyBorder="1" applyAlignment="1">
      <x:alignment vertical="center"/>
    </x:xf>
    <x:xf numFmtId="205" fontId="0" fillId="0" borderId="33" xfId="0" applyNumberFormat="1" applyFont="1" applyFill="1" applyBorder="1" applyAlignment="1">
      <x:alignment vertical="center"/>
    </x:xf>
    <x:xf numFmtId="0" fontId="0" fillId="0" borderId="34" xfId="0" applyNumberFormat="1" applyFont="1" applyFill="1" applyBorder="1" applyAlignment="1">
      <x:alignment vertical="center"/>
    </x:xf>
    <x:xf numFmtId="0" fontId="0" fillId="0" borderId="35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5" fontId="0" fillId="0" borderId="1" xfId="0" applyNumberFormat="1" applyFont="1" applyFill="1" applyBorder="1" applyAlignment="1">
      <x:alignment vertical="center"/>
    </x:xf>
    <x:xf numFmtId="0" fontId="0" fillId="0" borderId="36" xfId="0" applyNumberFormat="1" applyFont="1" applyFill="1" applyBorder="1" applyAlignment="1">
      <x:alignment vertical="center"/>
    </x:xf>
    <x:xf numFmtId="0" fontId="0" fillId="0" borderId="37" xfId="0" applyNumberFormat="1" applyFont="1" applyFill="1" applyBorder="1" applyAlignment="1">
      <x:alignment vertical="center"/>
    </x:xf>
    <x:xf numFmtId="203" fontId="0" fillId="0" borderId="38" xfId="0" applyNumberFormat="1" applyFont="1" applyFill="1" applyBorder="1" applyAlignment="1">
      <x:alignment vertical="center"/>
    </x:xf>
    <x:xf numFmtId="0" fontId="0" fillId="0" borderId="38" xfId="0" applyNumberFormat="1" applyFont="1" applyFill="1" applyBorder="1" applyAlignment="1">
      <x:alignment vertical="center"/>
    </x:xf>
    <x:xf numFmtId="204" fontId="0" fillId="0" borderId="38" xfId="0" applyNumberFormat="1" applyFont="1" applyFill="1" applyBorder="1" applyAlignment="1">
      <x:alignment vertical="center"/>
    </x:xf>
    <x:xf numFmtId="200" fontId="0" fillId="0" borderId="38" xfId="0" applyNumberFormat="1" applyFont="1" applyFill="1" applyBorder="1" applyAlignment="1">
      <x:alignment vertical="center"/>
    </x:xf>
    <x:xf numFmtId="201" fontId="0" fillId="0" borderId="38" xfId="0" applyNumberFormat="1" applyFont="1" applyFill="1" applyBorder="1" applyAlignment="1">
      <x:alignment vertical="center"/>
    </x:xf>
    <x:xf numFmtId="205" fontId="0" fillId="0" borderId="38" xfId="0" applyNumberFormat="1" applyFont="1" applyFill="1" applyBorder="1" applyAlignment="1">
      <x:alignment vertical="center"/>
    </x:xf>
    <x:xf numFmtId="0" fontId="0" fillId="0" borderId="39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vertical="center" wrapText="1"/>
    </x:xf>
    <x:xf numFmtId="0" fontId="0" fillId="5" borderId="24" xfId="0" applyNumberFormat="1" applyFont="1" applyFill="1" applyBorder="1" applyAlignment="1">
      <x:alignment vertical="center"/>
    </x:xf>
    <x:xf numFmtId="0" fontId="0" fillId="5" borderId="27" xfId="0" applyNumberFormat="1" applyFont="1" applyFill="1" applyBorder="1" applyAlignment="1">
      <x:alignment vertical="center"/>
    </x:xf>
    <x:xf numFmtId="0" fontId="0" fillId="5" borderId="29" xfId="0" applyNumberFormat="1" applyFont="1" applyFill="1" applyBorder="1" applyAlignment="1">
      <x:alignment vertical="center"/>
    </x:xf>
    <x:xf numFmtId="0" fontId="0" fillId="5" borderId="32" xfId="0" applyNumberFormat="1" applyFont="1" applyFill="1" applyBorder="1" applyAlignment="1">
      <x:alignment vertical="center"/>
    </x:xf>
    <x:xf numFmtId="0" fontId="0" fillId="5" borderId="35" xfId="0" applyNumberFormat="1" applyFont="1" applyFill="1" applyBorder="1" applyAlignment="1">
      <x:alignment vertical="center"/>
    </x:xf>
    <x:xf numFmtId="0" fontId="0" fillId="5" borderId="37" xfId="0" applyNumberFormat="1" applyFont="1" applyFill="1" applyBorder="1" applyAlignment="1">
      <x:alignment vertical="center"/>
    </x:xf>
    <x:xf numFmtId="204" fontId="0" fillId="6" borderId="25" xfId="0" applyNumberFormat="1" applyFont="1" applyFill="1" applyBorder="1" applyAlignment="1">
      <x:alignment vertical="center"/>
    </x:xf>
    <x:xf numFmtId="204" fontId="0" fillId="6" borderId="0" xfId="0" applyNumberFormat="1" applyFont="1" applyFill="1" applyBorder="1" applyAlignment="1">
      <x:alignment vertical="center"/>
    </x:xf>
    <x:xf numFmtId="204" fontId="0" fillId="6" borderId="30" xfId="0" applyNumberFormat="1" applyFont="1" applyFill="1" applyBorder="1" applyAlignment="1">
      <x:alignment vertical="center"/>
    </x:xf>
    <x:xf numFmtId="204" fontId="0" fillId="6" borderId="33" xfId="0" applyNumberFormat="1" applyFont="1" applyFill="1" applyBorder="1" applyAlignment="1">
      <x:alignment vertical="center"/>
    </x:xf>
    <x:xf numFmtId="204" fontId="0" fillId="6" borderId="1" xfId="0" applyNumberFormat="1" applyFont="1" applyFill="1" applyBorder="1" applyAlignment="1">
      <x:alignment vertical="center"/>
    </x:xf>
    <x:xf numFmtId="204" fontId="0" fillId="6" borderId="38" xfId="0" applyNumberFormat="1" applyFont="1" applyFill="1" applyBorder="1" applyAlignment="1">
      <x:alignment vertical="center"/>
    </x:xf>
    <x:xf numFmtId="200" fontId="0" fillId="6" borderId="25" xfId="0" applyNumberFormat="1" applyFont="1" applyFill="1" applyBorder="1" applyAlignment="1">
      <x:alignment vertical="center"/>
    </x:xf>
    <x:xf numFmtId="201" fontId="0" fillId="6" borderId="25" xfId="0" applyNumberFormat="1" applyFont="1" applyFill="1" applyBorder="1" applyAlignment="1">
      <x:alignment vertical="center"/>
    </x:xf>
    <x:xf numFmtId="205" fontId="0" fillId="6" borderId="25" xfId="0" applyNumberFormat="1" applyFont="1" applyFill="1" applyBorder="1" applyAlignment="1">
      <x:alignment vertical="center"/>
    </x:xf>
    <x:xf numFmtId="0" fontId="0" fillId="6" borderId="25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205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/>
    </x:xf>
    <x:xf numFmtId="200" fontId="0" fillId="6" borderId="30" xfId="0" applyNumberFormat="1" applyFont="1" applyFill="1" applyBorder="1" applyAlignment="1">
      <x:alignment vertical="center"/>
    </x:xf>
    <x:xf numFmtId="201" fontId="0" fillId="6" borderId="30" xfId="0" applyNumberFormat="1" applyFont="1" applyFill="1" applyBorder="1" applyAlignment="1">
      <x:alignment vertical="center"/>
    </x:xf>
    <x:xf numFmtId="205" fontId="0" fillId="6" borderId="30" xfId="0" applyNumberFormat="1" applyFont="1" applyFill="1" applyBorder="1" applyAlignment="1">
      <x:alignment vertical="center"/>
    </x:xf>
    <x:xf numFmtId="0" fontId="0" fillId="6" borderId="30" xfId="0" applyNumberFormat="1" applyFont="1" applyFill="1" applyBorder="1" applyAlignment="1">
      <x:alignment vertical="center"/>
    </x:xf>
    <x:xf numFmtId="200" fontId="0" fillId="6" borderId="33" xfId="0" applyNumberFormat="1" applyFont="1" applyFill="1" applyBorder="1" applyAlignment="1">
      <x:alignment vertical="center"/>
    </x:xf>
    <x:xf numFmtId="201" fontId="0" fillId="6" borderId="33" xfId="0" applyNumberFormat="1" applyFont="1" applyFill="1" applyBorder="1" applyAlignment="1">
      <x:alignment vertical="center"/>
    </x:xf>
    <x:xf numFmtId="205" fontId="0" fillId="6" borderId="33" xfId="0" applyNumberFormat="1" applyFont="1" applyFill="1" applyBorder="1" applyAlignment="1">
      <x:alignment vertical="center"/>
    </x:xf>
    <x:xf numFmtId="0" fontId="0" fillId="6" borderId="33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5" fontId="0" fillId="6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200" fontId="0" fillId="6" borderId="38" xfId="0" applyNumberFormat="1" applyFont="1" applyFill="1" applyBorder="1" applyAlignment="1">
      <x:alignment vertical="center"/>
    </x:xf>
    <x:xf numFmtId="201" fontId="0" fillId="6" borderId="38" xfId="0" applyNumberFormat="1" applyFont="1" applyFill="1" applyBorder="1" applyAlignment="1">
      <x:alignment vertical="center"/>
    </x:xf>
    <x:xf numFmtId="205" fontId="0" fillId="6" borderId="38" xfId="0" applyNumberFormat="1" applyFont="1" applyFill="1" applyBorder="1" applyAlignment="1">
      <x:alignment vertical="center"/>
    </x:xf>
    <x:xf numFmtId="0" fontId="0" fillId="6" borderId="38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40" xfId="0" applyNumberFormat="1" applyFont="1" applyFill="1" applyBorder="1"/>
    <x:xf numFmtId="0" fontId="8" fillId="7" borderId="41" xfId="0" applyNumberFormat="1" applyFont="1" applyFill="1" applyBorder="1"/>
    <x:xf numFmtId="0" fontId="8" fillId="7" borderId="42" xfId="0" applyNumberFormat="1" applyFont="1" applyFill="1" applyBorder="1"/>
    <x:xf numFmtId="0" fontId="8" fillId="7" borderId="43" xfId="0" applyNumberFormat="1" applyFont="1" applyFill="1" applyBorder="1"/>
    <x:xf numFmtId="0" fontId="8" fillId="7" borderId="44" xfId="0" applyNumberFormat="1" applyFont="1" applyFill="1" applyBorder="1"/>
    <x:xf numFmtId="0" fontId="8" fillId="7" borderId="45" xfId="0" applyNumberFormat="1" applyFont="1" applyFill="1" applyBorder="1"/>
    <x:xf numFmtId="0" fontId="8" fillId="7" borderId="46" xfId="0" applyNumberFormat="1" applyFont="1" applyFill="1" applyBorder="1"/>
    <x:xf numFmtId="0" fontId="8" fillId="7" borderId="47" xfId="0" applyNumberFormat="1" applyFont="1" applyFill="1" applyBorder="1"/>
    <x:xf numFmtId="0" fontId="8" fillId="7" borderId="40" xfId="0" applyNumberFormat="1" applyFont="1" applyFill="1" applyBorder="1" applyAlignment="1">
      <x:alignment horizontal="center"/>
    </x:xf>
    <x:xf numFmtId="0" fontId="8" fillId="7" borderId="41" xfId="0" applyNumberFormat="1" applyFont="1" applyFill="1" applyBorder="1" applyAlignment="1">
      <x:alignment horizontal="center"/>
    </x:xf>
    <x:xf numFmtId="0" fontId="8" fillId="7" borderId="42" xfId="0" applyNumberFormat="1" applyFont="1" applyFill="1" applyBorder="1" applyAlignment="1">
      <x:alignment horizontal="center"/>
    </x:xf>
    <x:xf numFmtId="0" fontId="8" fillId="7" borderId="43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8" fillId="7" borderId="44" xfId="0" applyNumberFormat="1" applyFont="1" applyFill="1" applyBorder="1" applyAlignment="1">
      <x:alignment horizontal="center"/>
    </x:xf>
    <x:xf numFmtId="0" fontId="8" fillId="7" borderId="45" xfId="0" applyNumberFormat="1" applyFont="1" applyFill="1" applyBorder="1" applyAlignment="1">
      <x:alignment horizontal="center"/>
    </x:xf>
    <x:xf numFmtId="0" fontId="8" fillId="7" borderId="46" xfId="0" applyNumberFormat="1" applyFont="1" applyFill="1" applyBorder="1" applyAlignment="1">
      <x:alignment horizontal="center"/>
    </x:xf>
    <x:xf numFmtId="0" fontId="8" fillId="7" borderId="47" xfId="0" applyNumberFormat="1" applyFont="1" applyFill="1" applyBorder="1" applyAlignment="1">
      <x:alignment horizontal="center"/>
    </x:xf>
    <x:xf numFmtId="0" fontId="8" fillId="7" borderId="40" xfId="0" applyNumberFormat="1" applyFont="1" applyFill="1" applyBorder="1" applyAlignment="1">
      <x:alignment horizontal="center" vertical="center"/>
    </x:xf>
    <x:xf numFmtId="0" fontId="8" fillId="7" borderId="41" xfId="0" applyNumberFormat="1" applyFont="1" applyFill="1" applyBorder="1" applyAlignment="1">
      <x:alignment horizontal="center" vertical="center"/>
    </x:xf>
    <x:xf numFmtId="0" fontId="8" fillId="7" borderId="42" xfId="0" applyNumberFormat="1" applyFont="1" applyFill="1" applyBorder="1" applyAlignment="1">
      <x:alignment horizontal="center" vertical="center"/>
    </x:xf>
    <x:xf numFmtId="0" fontId="8" fillId="7" borderId="43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44" xfId="0" applyNumberFormat="1" applyFont="1" applyFill="1" applyBorder="1" applyAlignment="1">
      <x:alignment horizontal="center" vertical="center"/>
    </x:xf>
    <x:xf numFmtId="0" fontId="8" fillId="7" borderId="45" xfId="0" applyNumberFormat="1" applyFont="1" applyFill="1" applyBorder="1" applyAlignment="1">
      <x:alignment horizontal="center" vertical="center"/>
    </x:xf>
    <x:xf numFmtId="0" fontId="8" fillId="7" borderId="46" xfId="0" applyNumberFormat="1" applyFont="1" applyFill="1" applyBorder="1" applyAlignment="1">
      <x:alignment horizontal="center" vertical="center"/>
    </x:xf>
    <x:xf numFmtId="0" fontId="8" fillId="7" borderId="47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48" xfId="0" applyNumberFormat="1" applyFont="1" applyFill="1" applyBorder="1"/>
    <x:xf numFmtId="0" fontId="8" fillId="7" borderId="49" xfId="0" applyNumberFormat="1" applyFont="1" applyFill="1" applyBorder="1"/>
    <x:xf numFmtId="0" fontId="8" fillId="7" borderId="50" xfId="0" applyNumberFormat="1" applyFont="1" applyFill="1" applyBorder="1"/>
    <x:xf numFmtId="0" fontId="8" fillId="7" borderId="51" xfId="0" applyNumberFormat="1" applyFont="1" applyFill="1" applyBorder="1"/>
    <x:xf numFmtId="0" fontId="8" fillId="7" borderId="52" xfId="0" applyNumberFormat="1" applyFont="1" applyFill="1" applyBorder="1"/>
    <x:xf numFmtId="0" fontId="8" fillId="7" borderId="53" xfId="0" applyNumberFormat="1" applyFont="1" applyFill="1" applyBorder="1"/>
    <x:xf numFmtId="0" fontId="8" fillId="7" borderId="54" xfId="0" applyNumberFormat="1" applyFont="1" applyFill="1" applyBorder="1"/>
    <x:xf numFmtId="0" fontId="8" fillId="7" borderId="55" xfId="0" applyNumberFormat="1" applyFont="1" applyFill="1" applyBorder="1"/>
    <x:xf numFmtId="0" fontId="8" fillId="7" borderId="48" xfId="0" applyNumberFormat="1" applyFont="1" applyFill="1" applyBorder="1" applyAlignment="1">
      <x:alignment horizontal="center"/>
    </x:xf>
    <x:xf numFmtId="0" fontId="8" fillId="7" borderId="49" xfId="0" applyNumberFormat="1" applyFont="1" applyFill="1" applyBorder="1" applyAlignment="1">
      <x:alignment horizontal="center"/>
    </x:xf>
    <x:xf numFmtId="0" fontId="8" fillId="7" borderId="50" xfId="0" applyNumberFormat="1" applyFont="1" applyFill="1" applyBorder="1" applyAlignment="1">
      <x:alignment horizontal="center"/>
    </x:xf>
    <x:xf numFmtId="0" fontId="8" fillId="7" borderId="5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/>
    </x:xf>
    <x:xf numFmtId="0" fontId="8" fillId="7" borderId="52" xfId="0" applyNumberFormat="1" applyFont="1" applyFill="1" applyBorder="1" applyAlignment="1">
      <x:alignment horizontal="center"/>
    </x:xf>
    <x:xf numFmtId="0" fontId="8" fillId="7" borderId="53" xfId="0" applyNumberFormat="1" applyFont="1" applyFill="1" applyBorder="1" applyAlignment="1">
      <x:alignment horizontal="center"/>
    </x:xf>
    <x:xf numFmtId="0" fontId="8" fillId="7" borderId="54" xfId="0" applyNumberFormat="1" applyFont="1" applyFill="1" applyBorder="1" applyAlignment="1">
      <x:alignment horizontal="center"/>
    </x:xf>
    <x:xf numFmtId="0" fontId="8" fillId="7" borderId="55" xfId="0" applyNumberFormat="1" applyFont="1" applyFill="1" applyBorder="1" applyAlignment="1">
      <x:alignment horizontal="center"/>
    </x:xf>
    <x:xf numFmtId="0" fontId="8" fillId="7" borderId="48" xfId="0" applyNumberFormat="1" applyFont="1" applyFill="1" applyBorder="1" applyAlignment="1">
      <x:alignment horizontal="center" vertical="center"/>
    </x:xf>
    <x:xf numFmtId="0" fontId="8" fillId="7" borderId="49" xfId="0" applyNumberFormat="1" applyFont="1" applyFill="1" applyBorder="1" applyAlignment="1">
      <x:alignment horizontal="center" vertical="center"/>
    </x:xf>
    <x:xf numFmtId="0" fontId="8" fillId="7" borderId="50" xfId="0" applyNumberFormat="1" applyFont="1" applyFill="1" applyBorder="1" applyAlignment="1">
      <x:alignment horizontal="center" vertical="center"/>
    </x:xf>
    <x:xf numFmtId="0" fontId="8" fillId="7" borderId="51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8" fillId="7" borderId="52" xfId="0" applyNumberFormat="1" applyFont="1" applyFill="1" applyBorder="1" applyAlignment="1">
      <x:alignment horizontal="center" vertical="center"/>
    </x:xf>
    <x:xf numFmtId="0" fontId="8" fillId="7" borderId="53" xfId="0" applyNumberFormat="1" applyFont="1" applyFill="1" applyBorder="1" applyAlignment="1">
      <x:alignment horizontal="center" vertical="center"/>
    </x:xf>
    <x:xf numFmtId="0" fontId="8" fillId="7" borderId="54" xfId="0" applyNumberFormat="1" applyFont="1" applyFill="1" applyBorder="1" applyAlignment="1">
      <x:alignment horizontal="center" vertical="center"/>
    </x:xf>
    <x:xf numFmtId="0" fontId="8" fillId="7" borderId="55" xfId="0" applyNumberFormat="1" applyFont="1" applyFill="1" applyBorder="1" applyAlignment="1">
      <x:alignment horizontal="center" vertical="center"/>
    </x:xf>
    <x:xf numFmtId="200" fontId="8" fillId="7" borderId="40" xfId="0" applyNumberFormat="1" applyFont="1" applyFill="1" applyBorder="1" applyAlignment="1">
      <x:alignment horizontal="center" vertical="center"/>
    </x:xf>
    <x:xf numFmtId="200" fontId="8" fillId="7" borderId="48" xfId="0" applyNumberFormat="1" applyFont="1" applyFill="1" applyBorder="1" applyAlignment="1">
      <x:alignment horizontal="center" vertical="center"/>
    </x:xf>
    <x:xf numFmtId="205" fontId="8" fillId="7" borderId="40" xfId="0" applyNumberFormat="1" applyFont="1" applyFill="1" applyBorder="1" applyAlignment="1">
      <x:alignment horizontal="center" vertical="center"/>
    </x:xf>
    <x:xf numFmtId="205" fontId="8" fillId="7" borderId="48" xfId="0" applyNumberFormat="1" applyFont="1" applyFill="1" applyBorder="1" applyAlignment="1">
      <x:alignment horizontal="center" vertical="center"/>
    </x:xf>
    <x:xf numFmtId="201" fontId="8" fillId="7" borderId="40" xfId="0" applyNumberFormat="1" applyFont="1" applyFill="1" applyBorder="1" applyAlignment="1">
      <x:alignment horizontal="center" vertical="center"/>
    </x:xf>
    <x:xf numFmtId="201" fontId="8" fillId="7" borderId="48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203" fontId="0" fillId="0" borderId="27" xfId="0" applyNumberFormat="1" applyFont="1" applyFill="1" applyBorder="1"/>
    <x:xf numFmtId="203" fontId="0" fillId="0" borderId="29" xfId="0" applyNumberFormat="1" applyFont="1" applyFill="1" applyBorder="1"/>
    <x:xf numFmtId="0" fontId="2" fillId="3" borderId="32" xfId="0" applyNumberFormat="1" applyFont="1" applyFill="1" applyBorder="1" applyAlignment="1">
      <x:alignment horizontal="center" wrapText="1"/>
    </x:xf>
    <x:xf numFmtId="0" fontId="2" fillId="3" borderId="33" xfId="0" applyNumberFormat="1" applyFont="1" applyFill="1" applyBorder="1" applyAlignment="1">
      <x:alignment horizontal="center" wrapText="1"/>
    </x:xf>
    <x:xf numFmtId="0" fontId="2" fillId="3" borderId="34" xfId="0" applyNumberFormat="1" applyFont="1" applyFill="1" applyBorder="1" applyAlignment="1">
      <x:alignment horizontal="center" wrapText="1"/>
    </x:xf>
    <x:xf numFmtId="203" fontId="0" fillId="0" borderId="35" xfId="0" applyNumberFormat="1" applyFont="1" applyFill="1" applyBorder="1"/>
    <x:xf numFmtId="203" fontId="0" fillId="0" borderId="37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0" fillId="0" borderId="62" xfId="0" applyNumberFormat="1" applyFont="1" applyFill="1" applyBorder="1"/>
    <x:xf numFmtId="0" fontId="0" fillId="0" borderId="63" xfId="0" applyNumberFormat="1" applyFont="1" applyFill="1" applyBorder="1"/>
    <x:xf numFmtId="0" fontId="0" fillId="0" borderId="64" xfId="0" applyNumberFormat="1" applyFont="1" applyFill="1" applyBorder="1"/>
    <x:xf numFmtId="0" fontId="0" fillId="0" borderId="65" xfId="0" applyNumberFormat="1" applyFont="1" applyFill="1" applyBorder="1"/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8" xfId="0" applyNumberFormat="1" applyFont="1" applyFill="1" applyBorder="1"/>
    <x:xf numFmtId="0" fontId="0" fillId="0" borderId="69" xfId="0" applyNumberFormat="1" applyFont="1" applyFill="1" applyBorder="1"/>
    <x:xf numFmtId="0" fontId="0" fillId="0" borderId="70" xfId="0" applyNumberFormat="1" applyFont="1" applyFill="1" applyBorder="1"/>
    <x:xf numFmtId="0" fontId="0" fillId="0" borderId="71" xfId="0" applyNumberFormat="1" applyFont="1" applyFill="1" applyBorder="1"/>
    <x:xf numFmtId="0" fontId="3" fillId="0" borderId="56" xfId="0" applyNumberFormat="1" applyFont="1" applyFill="1" applyBorder="1"/>
    <x:xf numFmtId="0" fontId="3" fillId="0" borderId="59" xfId="0" applyNumberFormat="1" applyFont="1" applyFill="1" applyBorder="1"/>
    <x:xf numFmtId="0" fontId="3" fillId="0" borderId="61" xfId="0" applyNumberFormat="1" applyFont="1" applyFill="1" applyBorder="1"/>
    <x:xf numFmtId="0" fontId="3" fillId="0" borderId="64" xfId="0" applyNumberFormat="1" applyFont="1" applyFill="1" applyBorder="1"/>
    <x:xf numFmtId="0" fontId="3" fillId="0" borderId="67" xfId="0" applyNumberFormat="1" applyFont="1" applyFill="1" applyBorder="1"/>
    <x:xf numFmtId="0" fontId="3" fillId="0" borderId="69" xfId="0" applyNumberFormat="1" applyFont="1" applyFill="1" applyBorder="1"/>
    <x:xf numFmtId="0" fontId="3" fillId="0" borderId="57" xfId="0" applyNumberFormat="1" applyFont="1" applyFill="1" applyBorder="1"/>
    <x:xf numFmtId="0" fontId="3" fillId="0" borderId="62" xfId="0" applyNumberFormat="1" applyFont="1" applyFill="1" applyBorder="1"/>
    <x:xf numFmtId="0" fontId="3" fillId="0" borderId="65" xfId="0" applyNumberFormat="1" applyFont="1" applyFill="1" applyBorder="1"/>
    <x:xf numFmtId="0" fontId="3" fillId="0" borderId="7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56" xfId="0" applyNumberFormat="1" applyFont="1" applyFill="1" applyBorder="1" applyAlignment="1">
      <x:alignment horizontal="center" wrapText="1"/>
    </x:xf>
    <x:xf numFmtId="0" fontId="3" fillId="4" borderId="57" xfId="0" applyNumberFormat="1" applyFont="1" applyFill="1" applyBorder="1" applyAlignment="1">
      <x:alignment horizontal="center" wrapText="1"/>
    </x:xf>
    <x:xf numFmtId="0" fontId="3" fillId="4" borderId="58" xfId="0" applyNumberFormat="1" applyFont="1" applyFill="1" applyBorder="1" applyAlignment="1">
      <x:alignment horizontal="center" wrapText="1"/>
    </x:xf>
    <x:xf numFmtId="0" fontId="3" fillId="4" borderId="64" xfId="0" applyNumberFormat="1" applyFont="1" applyFill="1" applyBorder="1" applyAlignment="1">
      <x:alignment horizontal="center" wrapText="1"/>
    </x:xf>
    <x:xf numFmtId="0" fontId="3" fillId="4" borderId="65" xfId="0" applyNumberFormat="1" applyFont="1" applyFill="1" applyBorder="1" applyAlignment="1">
      <x:alignment horizontal="center" wrapText="1"/>
    </x:xf>
    <x:xf numFmtId="0" fontId="3" fillId="4" borderId="66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595959"/>
      </x:font>
      <x:fill>
        <x:patternFill patternType="solid">
          <x:bgColor rgb="FFD9E1F2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sz val="20"/>
        <x:color rgb="FF9C0006"/>
      </x:font>
      <x:fill>
        <x:patternFill patternType="solid">
          <x:bgColor rgb="FFFFC7CE"/>
        </x:patternFill>
      </x:fill>
    </x:dxf>
    <x:dxf>
      <x:font>
        <x:b/>
        <x:sz val="20"/>
        <x:color rgb="FF9C0006"/>
      </x:font>
      <x:fill>
        <x:patternFill patternType="solid">
          <x:bgColor rgb="FFFFC7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f880f44594499" /><Relationship Type="http://schemas.openxmlformats.org/officeDocument/2006/relationships/theme" Target="/xl/theme/theme1.xml" Id="Rfac98151ad1d4141" /><Relationship Type="http://schemas.openxmlformats.org/officeDocument/2006/relationships/sharedStrings" Target="/xl/sharedStrings.xml" Id="R839a1fcbc1184a9a" /><Relationship Type="http://schemas.openxmlformats.org/officeDocument/2006/relationships/worksheet" Target="/xl/worksheets/sheet1.xml" Id="Raad2e3c0eee04e04" /><Relationship Type="http://schemas.openxmlformats.org/officeDocument/2006/relationships/worksheet" Target="/xl/worksheets/sheet2.xml" Id="R004975c03a754419" /><Relationship Type="http://schemas.openxmlformats.org/officeDocument/2006/relationships/worksheet" Target="/xl/worksheets/sheet3.xml" Id="R561bc9fd61e84bb9" /><Relationship Type="http://schemas.openxmlformats.org/officeDocument/2006/relationships/worksheet" Target="/xl/worksheets/sheet4.xml" Id="R9faea8853a3343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d836e7e09743d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Tren Pemakaian Cutting Bit per Hari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Bit Terpasang</c:v>
          </c:tx>
          <c:cat>
            <c:strRef>
              <c:f>'Dashboard'!$A$19:$A$48</c:f>
              <c:strCache>
                <c:ptCount val="0"/>
              </c:strCache>
            </c:strRef>
          </c:cat>
          <c:val>
            <c:numRef>
              <c:f>'Dashboard'!$B$19:$B$48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Standar Maksimum</c:v>
          </c:tx>
          <c:cat>
            <c:strRef>
              <c:f>'Dashboard'!$A$19:$A$48</c:f>
              <c:strCache>
                <c:ptCount val="0"/>
              </c:strCache>
            </c:strRef>
          </c:cat>
          <c:val>
            <c:numRef>
              <c:f>'Dashboard'!$C$19:$C$48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d836e7e09743d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ontrolCuttingBit" displayName="KontrolCuttingBit" ref="A4:W204" headerRowCount="1">
  <x:tableColumns count="23">
    <x:tableColumn id="1" name="No"/>
    <x:tableColumn id="2" name="Tanggal"/>
    <x:tableColumn id="3" name="Shift"/>
    <x:tableColumn id="4" name="Unit"/>
    <x:tableColumn id="5" name="Lokasi/STA"/>
    <x:tableColumn id="6" name="Operator"/>
    <x:tableColumn id="7" name="Mekanik"/>
    <x:tableColumn id="8" name="HM Awal"/>
    <x:tableColumn id="9" name="HM Akhir"/>
    <x:tableColumn id="10" name="Jam Kerja"/>
    <x:tableColumn id="11" name="Produksi (m²)"/>
    <x:tableColumn id="12" name="Stok Awal"/>
    <x:tableColumn id="13" name="Bit Masuk"/>
    <x:tableColumn id="14" name="Bit Baru Terpasang"/>
    <x:tableColumn id="15" name="Bit Bekas Kembali"/>
    <x:tableColumn id="16" name="Bit Hilang/Tidak Kembali"/>
    <x:tableColumn id="17" name="Stok Akhir"/>
    <x:tableColumn id="18" name="Bit/HM"/>
    <x:tableColumn id="19" name="Bit/1.000 m²"/>
    <x:tableColumn id="20" name="Biaya/Hari (Rp)"/>
    <x:tableColumn id="21" name="Status"/>
    <x:tableColumn id="22" name="Penyebab/Keterangan"/>
    <x:tableColumn id="23" name="No. Foto/Bukt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762fb7e6946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70b7bb8c7e24e5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6" hidden="0" customWidth="1"/>
    <x:col min="4" max="4" width="38" hidden="0" customWidth="1"/>
  </x:cols>
  <x:sheetData>
    <x:row r="1">
      <x:c r="A1" s="26" t="str">
        <x:v>PARAMETER KONTROL CUTTING BIT CAT RM500</x:v>
      </x:c>
      <x:c r="B1" s="27"/>
      <x:c r="C1" s="27"/>
      <x:c r="D1" s="28"/>
    </x:row>
    <x:row r="2">
      <x:c r="A2" s="29"/>
      <x:c r="B2" s="30"/>
      <x:c r="C2" s="30"/>
      <x:c r="D2" s="31"/>
    </x:row>
    <x:row r="3">
      <x:c r="A3" s="32" t="str">
        <x:v>Parameter</x:v>
      </x:c>
      <x:c r="B3" s="12" t="str">
        <x:v>Nilai</x:v>
      </x:c>
      <x:c r="C3" s="30"/>
      <x:c r="D3" s="31"/>
    </x:row>
    <x:row r="4">
      <x:c r="A4" s="33" t="str">
        <x:v>Harga Cutting Bit / pcs</x:v>
      </x:c>
      <x:c r="B4" s="18" t="n">
        <x:v>441441</x:v>
      </x:c>
      <x:c r="C4" s="30"/>
      <x:c r="D4" s="31"/>
    </x:row>
    <x:row r="5">
      <x:c r="A5" s="33" t="str">
        <x:v>Standar maksimum Bit/Hari</x:v>
      </x:c>
      <x:c r="B5" s="20" t="n">
        <x:v>30</x:v>
      </x:c>
      <x:c r="C5" s="30"/>
      <x:c r="D5" s="31"/>
    </x:row>
    <x:row r="6">
      <x:c r="A6" s="33" t="str">
        <x:v>Standar maksimum Bit/HM</x:v>
      </x:c>
      <x:c r="B6" s="20" t="n">
        <x:v>3</x:v>
      </x:c>
      <x:c r="C6" s="30"/>
      <x:c r="D6" s="31"/>
    </x:row>
    <x:row r="7">
      <x:c r="A7" s="33" t="str">
        <x:v>Standar maksimum Bit/1.000 m²</x:v>
      </x:c>
      <x:c r="B7" s="20" t="n">
        <x:v>5</x:v>
      </x:c>
      <x:c r="C7" s="30"/>
      <x:c r="D7" s="31"/>
    </x:row>
    <x:row r="8">
      <x:c r="A8" s="33" t="str">
        <x:v>Target pengembalian bit bekas</x:v>
      </x:c>
      <x:c r="B8" s="22" t="n">
        <x:v>1</x:v>
      </x:c>
      <x:c r="C8" s="30"/>
      <x:c r="D8" s="31"/>
    </x:row>
    <x:row r="9">
      <x:c r="A9" s="33" t="str">
        <x:v>Stok minimum</x:v>
      </x:c>
      <x:c r="B9" s="18" t="n">
        <x:v>100</x:v>
      </x:c>
      <x:c r="C9" s="30"/>
      <x:c r="D9" s="31"/>
    </x:row>
    <x:row r="10">
      <x:c r="A10" s="29"/>
      <x:c r="B10" s="30"/>
      <x:c r="C10" s="30"/>
      <x:c r="D10" s="31"/>
    </x:row>
    <x:row r="11">
      <x:c r="A11" s="32" t="str">
        <x:v>Keterangan Status</x:v>
      </x:c>
      <x:c r="B11" s="12" t="str">
        <x:v>Kriteria</x:v>
      </x:c>
      <x:c r="C11" s="12" t="str">
        <x:v>Warna</x:v>
      </x:c>
      <x:c r="D11" s="34" t="str">
        <x:v>Tindakan</x:v>
      </x:c>
    </x:row>
    <x:row r="12">
      <x:c r="A12" s="35" t="str">
        <x:v>NORMAL</x:v>
      </x:c>
      <x:c r="B12" s="24" t="str">
        <x:v>≤ standar</x:v>
      </x:c>
      <x:c r="C12" s="24" t="str">
        <x:v>Hijau</x:v>
      </x:c>
      <x:c r="D12" s="36" t="str">
        <x:v>Lanjutkan operasi dan monitor</x:v>
      </x:c>
    </x:row>
    <x:row r="13">
      <x:c r="A13" s="35" t="str">
        <x:v>WARNING</x:v>
      </x:c>
      <x:c r="B13" s="24" t="str">
        <x:v>101%–120% standar</x:v>
      </x:c>
      <x:c r="C13" s="24" t="str">
        <x:v>Kuning</x:v>
      </x:c>
      <x:c r="D13" s="36" t="str">
        <x:v>Cek setting, operator, dan kondisi material</x:v>
      </x:c>
    </x:row>
    <x:row r="14">
      <x:c r="A14" s="35" t="str">
        <x:v>OVER LIMIT</x:v>
      </x:c>
      <x:c r="B14" s="24" t="str">
        <x:v>&gt;120% standar</x:v>
      </x:c>
      <x:c r="C14" s="24" t="str">
        <x:v>Merah</x:v>
      </x:c>
      <x:c r="D14" s="36" t="str">
        <x:v>Investigasi dan persetujuan atasan</x:v>
      </x:c>
    </x:row>
    <x:row r="15">
      <x:c r="A15" s="37" t="str">
        <x:v>DATA TIDAK LENGKAP</x:v>
      </x:c>
      <x:c r="B15" s="38" t="str">
        <x:v>Jam kerja/produksi kosong</x:v>
      </x:c>
      <x:c r="C15" s="38" t="str">
        <x:v>Abu-abu</x:v>
      </x:c>
      <x:c r="D15" s="39" t="str">
        <x:v>Lengkapi data sebelum approval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1" hidden="0" customWidth="1"/>
    <x:col min="4" max="4" width="12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10" hidden="0" customWidth="1"/>
    <x:col min="10" max="10" width="11" hidden="0" customWidth="1"/>
    <x:col min="11" max="11" width="15" hidden="0" customWidth="1"/>
    <x:col min="12" max="12" width="11" hidden="0" customWidth="1"/>
    <x:col min="13" max="13" width="11" hidden="0" customWidth="1"/>
    <x:col min="14" max="14" width="15" hidden="0" customWidth="1"/>
    <x:col min="15" max="15" width="17" hidden="0" customWidth="1"/>
    <x:col min="16" max="16" width="18" hidden="0" customWidth="1"/>
    <x:col min="17" max="17" width="11" hidden="0" customWidth="1"/>
    <x:col min="18" max="18" width="10" hidden="0" customWidth="1"/>
    <x:col min="19" max="19" width="14" hidden="0" customWidth="1"/>
    <x:col min="20" max="20" width="17" hidden="0" customWidth="1"/>
    <x:col min="21" max="21" width="19" hidden="0" customWidth="1"/>
    <x:col min="22" max="22" width="32" hidden="0" customWidth="1"/>
    <x:col min="23" max="23" width="18" hidden="0" customWidth="1"/>
  </x:cols>
  <x:sheetData>
    <x:row r="1">
      <x:c r="A1" s="55" t="str">
        <x:v>FORM KONTROL HARIAN CUTTING BIT — CATERPILLAR RM500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  <x:c r="S1" s="55"/>
      <x:c r="T1" s="55"/>
      <x:c r="U1" s="55"/>
      <x:c r="V1" s="55"/>
      <x:c r="W1" s="55"/>
    </x:row>
    <x:row r="2">
      <x:c r="A2" s="62" t="str">
        <x:v>Isi kolom putih setiap hari. Kolom perhitungan dan status akan terisi otomatis. Bit baru yang keluar harus disertai pengembalian bit bekas dan foto bukti.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</x:row>
    <x:row r="4" ht="40" customHeight="1">
      <x:c r="A4" s="76" t="str">
        <x:v>No</x:v>
      </x:c>
      <x:c r="B4" s="77" t="str">
        <x:v>Tanggal</x:v>
      </x:c>
      <x:c r="C4" s="77" t="str">
        <x:v>Shift</x:v>
      </x:c>
      <x:c r="D4" s="77" t="str">
        <x:v>Unit</x:v>
      </x:c>
      <x:c r="E4" s="77" t="str">
        <x:v>Lokasi/STA</x:v>
      </x:c>
      <x:c r="F4" s="77" t="str">
        <x:v>Operator</x:v>
      </x:c>
      <x:c r="G4" s="77" t="str">
        <x:v>Mekanik</x:v>
      </x:c>
      <x:c r="H4" s="77" t="str">
        <x:v>HM Awal</x:v>
      </x:c>
      <x:c r="I4" s="77" t="str">
        <x:v>HM Akhir</x:v>
      </x:c>
      <x:c r="J4" s="77" t="str">
        <x:v>Jam Kerja</x:v>
      </x:c>
      <x:c r="K4" s="77" t="str">
        <x:v>Produksi (m²)</x:v>
      </x:c>
      <x:c r="L4" s="77" t="str">
        <x:v>Stok Awal</x:v>
      </x:c>
      <x:c r="M4" s="77" t="str">
        <x:v>Bit Masuk</x:v>
      </x:c>
      <x:c r="N4" s="77" t="str">
        <x:v>Bit Baru Terpasang</x:v>
      </x:c>
      <x:c r="O4" s="77" t="str">
        <x:v>Bit Bekas Kembali</x:v>
      </x:c>
      <x:c r="P4" s="77" t="str">
        <x:v>Bit Hilang/Tidak Kembali</x:v>
      </x:c>
      <x:c r="Q4" s="77" t="str">
        <x:v>Stok Akhir</x:v>
      </x:c>
      <x:c r="R4" s="77" t="str">
        <x:v>Bit/HM</x:v>
      </x:c>
      <x:c r="S4" s="77" t="str">
        <x:v>Bit/1.000 m²</x:v>
      </x:c>
      <x:c r="T4" s="77" t="str">
        <x:v>Biaya/Hari (Rp)</x:v>
      </x:c>
      <x:c r="U4" s="77" t="str">
        <x:v>Status</x:v>
      </x:c>
      <x:c r="V4" s="77" t="str">
        <x:v>Penyebab/Keterangan</x:v>
      </x:c>
      <x:c r="W4" s="78" t="str">
        <x:v>No. Foto/Bukti</x:v>
      </x:c>
    </x:row>
    <x:row r="5">
      <x:c r="A5" s="193" t="n">
        <x:f>ROW()-4</x:f>
        <x:v>1</x:v>
      </x:c>
      <x:c r="B5" s="134"/>
      <x:c r="C5" s="135"/>
      <x:c r="D5" s="135"/>
      <x:c r="E5" s="181"/>
      <x:c r="F5" s="181"/>
      <x:c r="G5" s="181"/>
      <x:c r="H5" s="136"/>
      <x:c r="I5" s="136"/>
      <x:c r="J5" s="199" t="str">
        <x:f>IF(OR(H5="",I5=""),"",MAX(0,I5-H5))</x:f>
      </x:c>
      <x:c r="K5" s="137"/>
      <x:c r="L5" s="137"/>
      <x:c r="M5" s="137"/>
      <x:c r="N5" s="137"/>
      <x:c r="O5" s="137"/>
      <x:c r="P5" s="205" t="str">
        <x:f>IF(OR(N5="",O5=""),"",MAX(0,N5-O5))</x:f>
      </x:c>
      <x:c r="Q5" s="205" t="str">
        <x:f>IF(L5="","",L5+IF(M5="",0,M5)-IF(N5="",0,N5))</x:f>
      </x:c>
      <x:c r="R5" s="206" t="str">
        <x:f>IF(OR(J5="",J5=0,N5=""),"",N5/J5)</x:f>
      </x:c>
      <x:c r="S5" s="206" t="str">
        <x:f>IF(OR(K5="",K5=0,N5=""),"",N5/K5*1000)</x:f>
      </x:c>
      <x:c r="T5" s="207" t="str">
        <x:f>IF(N5="","",N5*Parameter!$B$4)</x:f>
      </x:c>
      <x:c r="U5" s="208" t="str">
        <x:f>IF(B5="","",IF(OR(J5="",K5=""),"DATA TIDAK LENGKAP",IF(OR(N5&gt;Parameter!$B$5*1.2,R5&gt;Parameter!$B$6*1.2,S5&gt;Parameter!$B$7*1.2,P5&gt;0),"OVER LIMIT",IF(OR(N5&gt;Parameter!$B$5,R5&gt;Parameter!$B$6,S5&gt;Parameter!$B$7),"WARNING","NORMAL"))))</x:f>
      </x:c>
      <x:c r="V5" s="181"/>
      <x:c r="W5" s="187"/>
    </x:row>
    <x:row r="6">
      <x:c r="A6" s="194" t="n">
        <x:f>ROW()-4</x:f>
        <x:v>2</x:v>
      </x:c>
      <x:c r="B6" s="142"/>
      <x:c r="C6" s="143"/>
      <x:c r="D6" s="143"/>
      <x:c r="E6" s="182"/>
      <x:c r="F6" s="182"/>
      <x:c r="G6" s="182"/>
      <x:c r="H6" s="144"/>
      <x:c r="I6" s="144"/>
      <x:c r="J6" s="200" t="str">
        <x:f>IF(OR(H6="",I6=""),"",MAX(0,I6-H6))</x:f>
      </x:c>
      <x:c r="K6" s="145"/>
      <x:c r="L6" s="145"/>
      <x:c r="M6" s="145"/>
      <x:c r="N6" s="145"/>
      <x:c r="O6" s="145"/>
      <x:c r="P6" s="209" t="str">
        <x:f>IF(OR(N6="",O6=""),"",MAX(0,N6-O6))</x:f>
      </x:c>
      <x:c r="Q6" s="209" t="str">
        <x:f>IF(L6="","",L6+IF(M6="",0,M6)-IF(N6="",0,N6))</x:f>
      </x:c>
      <x:c r="R6" s="210" t="str">
        <x:f>IF(OR(J6="",J6=0,N6=""),"",N6/J6)</x:f>
      </x:c>
      <x:c r="S6" s="210" t="str">
        <x:f>IF(OR(K6="",K6=0,N6=""),"",N6/K6*1000)</x:f>
      </x:c>
      <x:c r="T6" s="211" t="str">
        <x:f>IF(N6="","",N6*Parameter!$B$4)</x:f>
      </x:c>
      <x:c r="U6" s="212" t="str">
        <x:f>IF(B6="","",IF(OR(J6="",K6=""),"DATA TIDAK LENGKAP",IF(OR(N6&gt;Parameter!$B$5*1.2,R6&gt;Parameter!$B$6*1.2,S6&gt;Parameter!$B$7*1.2,P6&gt;0),"OVER LIMIT",IF(OR(N6&gt;Parameter!$B$5,R6&gt;Parameter!$B$6,S6&gt;Parameter!$B$7),"WARNING","NORMAL"))))</x:f>
      </x:c>
      <x:c r="V6" s="182"/>
      <x:c r="W6" s="188"/>
    </x:row>
    <x:row r="7">
      <x:c r="A7" s="194" t="n">
        <x:f>ROW()-4</x:f>
        <x:v>3</x:v>
      </x:c>
      <x:c r="B7" s="142"/>
      <x:c r="C7" s="143"/>
      <x:c r="D7" s="143"/>
      <x:c r="E7" s="182"/>
      <x:c r="F7" s="182"/>
      <x:c r="G7" s="182"/>
      <x:c r="H7" s="144"/>
      <x:c r="I7" s="144"/>
      <x:c r="J7" s="200" t="str">
        <x:f>IF(OR(H7="",I7=""),"",MAX(0,I7-H7))</x:f>
      </x:c>
      <x:c r="K7" s="145"/>
      <x:c r="L7" s="145"/>
      <x:c r="M7" s="145"/>
      <x:c r="N7" s="145"/>
      <x:c r="O7" s="145"/>
      <x:c r="P7" s="209" t="str">
        <x:f>IF(OR(N7="",O7=""),"",MAX(0,N7-O7))</x:f>
      </x:c>
      <x:c r="Q7" s="209" t="str">
        <x:f>IF(L7="","",L7+IF(M7="",0,M7)-IF(N7="",0,N7))</x:f>
      </x:c>
      <x:c r="R7" s="210" t="str">
        <x:f>IF(OR(J7="",J7=0,N7=""),"",N7/J7)</x:f>
      </x:c>
      <x:c r="S7" s="210" t="str">
        <x:f>IF(OR(K7="",K7=0,N7=""),"",N7/K7*1000)</x:f>
      </x:c>
      <x:c r="T7" s="211" t="str">
        <x:f>IF(N7="","",N7*Parameter!$B$4)</x:f>
      </x:c>
      <x:c r="U7" s="212" t="str">
        <x:f>IF(B7="","",IF(OR(J7="",K7=""),"DATA TIDAK LENGKAP",IF(OR(N7&gt;Parameter!$B$5*1.2,R7&gt;Parameter!$B$6*1.2,S7&gt;Parameter!$B$7*1.2,P7&gt;0),"OVER LIMIT",IF(OR(N7&gt;Parameter!$B$5,R7&gt;Parameter!$B$6,S7&gt;Parameter!$B$7),"WARNING","NORMAL"))))</x:f>
      </x:c>
      <x:c r="V7" s="182"/>
      <x:c r="W7" s="188"/>
    </x:row>
    <x:row r="8">
      <x:c r="A8" s="194" t="n">
        <x:f>ROW()-4</x:f>
        <x:v>4</x:v>
      </x:c>
      <x:c r="B8" s="142"/>
      <x:c r="C8" s="143"/>
      <x:c r="D8" s="143"/>
      <x:c r="E8" s="182"/>
      <x:c r="F8" s="182"/>
      <x:c r="G8" s="182"/>
      <x:c r="H8" s="144"/>
      <x:c r="I8" s="144"/>
      <x:c r="J8" s="200" t="str">
        <x:f>IF(OR(H8="",I8=""),"",MAX(0,I8-H8))</x:f>
      </x:c>
      <x:c r="K8" s="145"/>
      <x:c r="L8" s="145"/>
      <x:c r="M8" s="145"/>
      <x:c r="N8" s="145"/>
      <x:c r="O8" s="145"/>
      <x:c r="P8" s="209" t="str">
        <x:f>IF(OR(N8="",O8=""),"",MAX(0,N8-O8))</x:f>
      </x:c>
      <x:c r="Q8" s="209" t="str">
        <x:f>IF(L8="","",L8+IF(M8="",0,M8)-IF(N8="",0,N8))</x:f>
      </x:c>
      <x:c r="R8" s="210" t="str">
        <x:f>IF(OR(J8="",J8=0,N8=""),"",N8/J8)</x:f>
      </x:c>
      <x:c r="S8" s="210" t="str">
        <x:f>IF(OR(K8="",K8=0,N8=""),"",N8/K8*1000)</x:f>
      </x:c>
      <x:c r="T8" s="211" t="str">
        <x:f>IF(N8="","",N8*Parameter!$B$4)</x:f>
      </x:c>
      <x:c r="U8" s="212" t="str">
        <x:f>IF(B8="","",IF(OR(J8="",K8=""),"DATA TIDAK LENGKAP",IF(OR(N8&gt;Parameter!$B$5*1.2,R8&gt;Parameter!$B$6*1.2,S8&gt;Parameter!$B$7*1.2,P8&gt;0),"OVER LIMIT",IF(OR(N8&gt;Parameter!$B$5,R8&gt;Parameter!$B$6,S8&gt;Parameter!$B$7),"WARNING","NORMAL"))))</x:f>
      </x:c>
      <x:c r="V8" s="182"/>
      <x:c r="W8" s="188"/>
    </x:row>
    <x:row r="9">
      <x:c r="A9" s="194" t="n">
        <x:f>ROW()-4</x:f>
        <x:v>5</x:v>
      </x:c>
      <x:c r="B9" s="142"/>
      <x:c r="C9" s="143"/>
      <x:c r="D9" s="143"/>
      <x:c r="E9" s="182"/>
      <x:c r="F9" s="182"/>
      <x:c r="G9" s="182"/>
      <x:c r="H9" s="144"/>
      <x:c r="I9" s="144"/>
      <x:c r="J9" s="200" t="str">
        <x:f>IF(OR(H9="",I9=""),"",MAX(0,I9-H9))</x:f>
      </x:c>
      <x:c r="K9" s="145"/>
      <x:c r="L9" s="145"/>
      <x:c r="M9" s="145"/>
      <x:c r="N9" s="145"/>
      <x:c r="O9" s="145"/>
      <x:c r="P9" s="209" t="str">
        <x:f>IF(OR(N9="",O9=""),"",MAX(0,N9-O9))</x:f>
      </x:c>
      <x:c r="Q9" s="209" t="str">
        <x:f>IF(L9="","",L9+IF(M9="",0,M9)-IF(N9="",0,N9))</x:f>
      </x:c>
      <x:c r="R9" s="210" t="str">
        <x:f>IF(OR(J9="",J9=0,N9=""),"",N9/J9)</x:f>
      </x:c>
      <x:c r="S9" s="210" t="str">
        <x:f>IF(OR(K9="",K9=0,N9=""),"",N9/K9*1000)</x:f>
      </x:c>
      <x:c r="T9" s="211" t="str">
        <x:f>IF(N9="","",N9*Parameter!$B$4)</x:f>
      </x:c>
      <x:c r="U9" s="212" t="str">
        <x:f>IF(B9="","",IF(OR(J9="",K9=""),"DATA TIDAK LENGKAP",IF(OR(N9&gt;Parameter!$B$5*1.2,R9&gt;Parameter!$B$6*1.2,S9&gt;Parameter!$B$7*1.2,P9&gt;0),"OVER LIMIT",IF(OR(N9&gt;Parameter!$B$5,R9&gt;Parameter!$B$6,S9&gt;Parameter!$B$7),"WARNING","NORMAL"))))</x:f>
      </x:c>
      <x:c r="V9" s="182"/>
      <x:c r="W9" s="188"/>
    </x:row>
    <x:row r="10">
      <x:c r="A10" s="194" t="n">
        <x:f>ROW()-4</x:f>
        <x:v>6</x:v>
      </x:c>
      <x:c r="B10" s="142"/>
      <x:c r="C10" s="143"/>
      <x:c r="D10" s="143"/>
      <x:c r="E10" s="182"/>
      <x:c r="F10" s="182"/>
      <x:c r="G10" s="182"/>
      <x:c r="H10" s="144"/>
      <x:c r="I10" s="144"/>
      <x:c r="J10" s="200" t="str">
        <x:f>IF(OR(H10="",I10=""),"",MAX(0,I10-H10))</x:f>
      </x:c>
      <x:c r="K10" s="145"/>
      <x:c r="L10" s="145"/>
      <x:c r="M10" s="145"/>
      <x:c r="N10" s="145"/>
      <x:c r="O10" s="145"/>
      <x:c r="P10" s="209" t="str">
        <x:f>IF(OR(N10="",O10=""),"",MAX(0,N10-O10))</x:f>
      </x:c>
      <x:c r="Q10" s="209" t="str">
        <x:f>IF(L10="","",L10+IF(M10="",0,M10)-IF(N10="",0,N10))</x:f>
      </x:c>
      <x:c r="R10" s="210" t="str">
        <x:f>IF(OR(J10="",J10=0,N10=""),"",N10/J10)</x:f>
      </x:c>
      <x:c r="S10" s="210" t="str">
        <x:f>IF(OR(K10="",K10=0,N10=""),"",N10/K10*1000)</x:f>
      </x:c>
      <x:c r="T10" s="211" t="str">
        <x:f>IF(N10="","",N10*Parameter!$B$4)</x:f>
      </x:c>
      <x:c r="U10" s="212" t="str">
        <x:f>IF(B10="","",IF(OR(J10="",K10=""),"DATA TIDAK LENGKAP",IF(OR(N10&gt;Parameter!$B$5*1.2,R10&gt;Parameter!$B$6*1.2,S10&gt;Parameter!$B$7*1.2,P10&gt;0),"OVER LIMIT",IF(OR(N10&gt;Parameter!$B$5,R10&gt;Parameter!$B$6,S10&gt;Parameter!$B$7),"WARNING","NORMAL"))))</x:f>
      </x:c>
      <x:c r="V10" s="182"/>
      <x:c r="W10" s="188"/>
    </x:row>
    <x:row r="11">
      <x:c r="A11" s="194" t="n">
        <x:f>ROW()-4</x:f>
        <x:v>7</x:v>
      </x:c>
      <x:c r="B11" s="142"/>
      <x:c r="C11" s="143"/>
      <x:c r="D11" s="143"/>
      <x:c r="E11" s="182"/>
      <x:c r="F11" s="182"/>
      <x:c r="G11" s="182"/>
      <x:c r="H11" s="144"/>
      <x:c r="I11" s="144"/>
      <x:c r="J11" s="200" t="str">
        <x:f>IF(OR(H11="",I11=""),"",MAX(0,I11-H11))</x:f>
      </x:c>
      <x:c r="K11" s="145"/>
      <x:c r="L11" s="145"/>
      <x:c r="M11" s="145"/>
      <x:c r="N11" s="145"/>
      <x:c r="O11" s="145"/>
      <x:c r="P11" s="209" t="str">
        <x:f>IF(OR(N11="",O11=""),"",MAX(0,N11-O11))</x:f>
      </x:c>
      <x:c r="Q11" s="209" t="str">
        <x:f>IF(L11="","",L11+IF(M11="",0,M11)-IF(N11="",0,N11))</x:f>
      </x:c>
      <x:c r="R11" s="210" t="str">
        <x:f>IF(OR(J11="",J11=0,N11=""),"",N11/J11)</x:f>
      </x:c>
      <x:c r="S11" s="210" t="str">
        <x:f>IF(OR(K11="",K11=0,N11=""),"",N11/K11*1000)</x:f>
      </x:c>
      <x:c r="T11" s="211" t="str">
        <x:f>IF(N11="","",N11*Parameter!$B$4)</x:f>
      </x:c>
      <x:c r="U11" s="212" t="str">
        <x:f>IF(B11="","",IF(OR(J11="",K11=""),"DATA TIDAK LENGKAP",IF(OR(N11&gt;Parameter!$B$5*1.2,R11&gt;Parameter!$B$6*1.2,S11&gt;Parameter!$B$7*1.2,P11&gt;0),"OVER LIMIT",IF(OR(N11&gt;Parameter!$B$5,R11&gt;Parameter!$B$6,S11&gt;Parameter!$B$7),"WARNING","NORMAL"))))</x:f>
      </x:c>
      <x:c r="V11" s="182"/>
      <x:c r="W11" s="188"/>
    </x:row>
    <x:row r="12">
      <x:c r="A12" s="194" t="n">
        <x:f>ROW()-4</x:f>
        <x:v>8</x:v>
      </x:c>
      <x:c r="B12" s="142"/>
      <x:c r="C12" s="143"/>
      <x:c r="D12" s="143"/>
      <x:c r="E12" s="182"/>
      <x:c r="F12" s="182"/>
      <x:c r="G12" s="182"/>
      <x:c r="H12" s="144"/>
      <x:c r="I12" s="144"/>
      <x:c r="J12" s="200" t="str">
        <x:f>IF(OR(H12="",I12=""),"",MAX(0,I12-H12))</x:f>
      </x:c>
      <x:c r="K12" s="145"/>
      <x:c r="L12" s="145"/>
      <x:c r="M12" s="145"/>
      <x:c r="N12" s="145"/>
      <x:c r="O12" s="145"/>
      <x:c r="P12" s="209" t="str">
        <x:f>IF(OR(N12="",O12=""),"",MAX(0,N12-O12))</x:f>
      </x:c>
      <x:c r="Q12" s="209" t="str">
        <x:f>IF(L12="","",L12+IF(M12="",0,M12)-IF(N12="",0,N12))</x:f>
      </x:c>
      <x:c r="R12" s="210" t="str">
        <x:f>IF(OR(J12="",J12=0,N12=""),"",N12/J12)</x:f>
      </x:c>
      <x:c r="S12" s="210" t="str">
        <x:f>IF(OR(K12="",K12=0,N12=""),"",N12/K12*1000)</x:f>
      </x:c>
      <x:c r="T12" s="211" t="str">
        <x:f>IF(N12="","",N12*Parameter!$B$4)</x:f>
      </x:c>
      <x:c r="U12" s="212" t="str">
        <x:f>IF(B12="","",IF(OR(J12="",K12=""),"DATA TIDAK LENGKAP",IF(OR(N12&gt;Parameter!$B$5*1.2,R12&gt;Parameter!$B$6*1.2,S12&gt;Parameter!$B$7*1.2,P12&gt;0),"OVER LIMIT",IF(OR(N12&gt;Parameter!$B$5,R12&gt;Parameter!$B$6,S12&gt;Parameter!$B$7),"WARNING","NORMAL"))))</x:f>
      </x:c>
      <x:c r="V12" s="182"/>
      <x:c r="W12" s="188"/>
    </x:row>
    <x:row r="13">
      <x:c r="A13" s="194" t="n">
        <x:f>ROW()-4</x:f>
        <x:v>9</x:v>
      </x:c>
      <x:c r="B13" s="142"/>
      <x:c r="C13" s="143"/>
      <x:c r="D13" s="143"/>
      <x:c r="E13" s="182"/>
      <x:c r="F13" s="182"/>
      <x:c r="G13" s="182"/>
      <x:c r="H13" s="144"/>
      <x:c r="I13" s="144"/>
      <x:c r="J13" s="200" t="str">
        <x:f>IF(OR(H13="",I13=""),"",MAX(0,I13-H13))</x:f>
      </x:c>
      <x:c r="K13" s="145"/>
      <x:c r="L13" s="145"/>
      <x:c r="M13" s="145"/>
      <x:c r="N13" s="145"/>
      <x:c r="O13" s="145"/>
      <x:c r="P13" s="209" t="str">
        <x:f>IF(OR(N13="",O13=""),"",MAX(0,N13-O13))</x:f>
      </x:c>
      <x:c r="Q13" s="209" t="str">
        <x:f>IF(L13="","",L13+IF(M13="",0,M13)-IF(N13="",0,N13))</x:f>
      </x:c>
      <x:c r="R13" s="210" t="str">
        <x:f>IF(OR(J13="",J13=0,N13=""),"",N13/J13)</x:f>
      </x:c>
      <x:c r="S13" s="210" t="str">
        <x:f>IF(OR(K13="",K13=0,N13=""),"",N13/K13*1000)</x:f>
      </x:c>
      <x:c r="T13" s="211" t="str">
        <x:f>IF(N13="","",N13*Parameter!$B$4)</x:f>
      </x:c>
      <x:c r="U13" s="212" t="str">
        <x:f>IF(B13="","",IF(OR(J13="",K13=""),"DATA TIDAK LENGKAP",IF(OR(N13&gt;Parameter!$B$5*1.2,R13&gt;Parameter!$B$6*1.2,S13&gt;Parameter!$B$7*1.2,P13&gt;0),"OVER LIMIT",IF(OR(N13&gt;Parameter!$B$5,R13&gt;Parameter!$B$6,S13&gt;Parameter!$B$7),"WARNING","NORMAL"))))</x:f>
      </x:c>
      <x:c r="V13" s="182"/>
      <x:c r="W13" s="188"/>
    </x:row>
    <x:row r="14">
      <x:c r="A14" s="194" t="n">
        <x:f>ROW()-4</x:f>
        <x:v>10</x:v>
      </x:c>
      <x:c r="B14" s="142"/>
      <x:c r="C14" s="143"/>
      <x:c r="D14" s="143"/>
      <x:c r="E14" s="182"/>
      <x:c r="F14" s="182"/>
      <x:c r="G14" s="182"/>
      <x:c r="H14" s="144"/>
      <x:c r="I14" s="144"/>
      <x:c r="J14" s="200" t="str">
        <x:f>IF(OR(H14="",I14=""),"",MAX(0,I14-H14))</x:f>
      </x:c>
      <x:c r="K14" s="145"/>
      <x:c r="L14" s="145"/>
      <x:c r="M14" s="145"/>
      <x:c r="N14" s="145"/>
      <x:c r="O14" s="145"/>
      <x:c r="P14" s="209" t="str">
        <x:f>IF(OR(N14="",O14=""),"",MAX(0,N14-O14))</x:f>
      </x:c>
      <x:c r="Q14" s="209" t="str">
        <x:f>IF(L14="","",L14+IF(M14="",0,M14)-IF(N14="",0,N14))</x:f>
      </x:c>
      <x:c r="R14" s="210" t="str">
        <x:f>IF(OR(J14="",J14=0,N14=""),"",N14/J14)</x:f>
      </x:c>
      <x:c r="S14" s="210" t="str">
        <x:f>IF(OR(K14="",K14=0,N14=""),"",N14/K14*1000)</x:f>
      </x:c>
      <x:c r="T14" s="211" t="str">
        <x:f>IF(N14="","",N14*Parameter!$B$4)</x:f>
      </x:c>
      <x:c r="U14" s="212" t="str">
        <x:f>IF(B14="","",IF(OR(J14="",K14=""),"DATA TIDAK LENGKAP",IF(OR(N14&gt;Parameter!$B$5*1.2,R14&gt;Parameter!$B$6*1.2,S14&gt;Parameter!$B$7*1.2,P14&gt;0),"OVER LIMIT",IF(OR(N14&gt;Parameter!$B$5,R14&gt;Parameter!$B$6,S14&gt;Parameter!$B$7),"WARNING","NORMAL"))))</x:f>
      </x:c>
      <x:c r="V14" s="182"/>
      <x:c r="W14" s="188"/>
    </x:row>
    <x:row r="15">
      <x:c r="A15" s="194" t="n">
        <x:f>ROW()-4</x:f>
        <x:v>11</x:v>
      </x:c>
      <x:c r="B15" s="142"/>
      <x:c r="C15" s="143"/>
      <x:c r="D15" s="143"/>
      <x:c r="E15" s="182"/>
      <x:c r="F15" s="182"/>
      <x:c r="G15" s="182"/>
      <x:c r="H15" s="144"/>
      <x:c r="I15" s="144"/>
      <x:c r="J15" s="200" t="str">
        <x:f>IF(OR(H15="",I15=""),"",MAX(0,I15-H15))</x:f>
      </x:c>
      <x:c r="K15" s="145"/>
      <x:c r="L15" s="145"/>
      <x:c r="M15" s="145"/>
      <x:c r="N15" s="145"/>
      <x:c r="O15" s="145"/>
      <x:c r="P15" s="209" t="str">
        <x:f>IF(OR(N15="",O15=""),"",MAX(0,N15-O15))</x:f>
      </x:c>
      <x:c r="Q15" s="209" t="str">
        <x:f>IF(L15="","",L15+IF(M15="",0,M15)-IF(N15="",0,N15))</x:f>
      </x:c>
      <x:c r="R15" s="210" t="str">
        <x:f>IF(OR(J15="",J15=0,N15=""),"",N15/J15)</x:f>
      </x:c>
      <x:c r="S15" s="210" t="str">
        <x:f>IF(OR(K15="",K15=0,N15=""),"",N15/K15*1000)</x:f>
      </x:c>
      <x:c r="T15" s="211" t="str">
        <x:f>IF(N15="","",N15*Parameter!$B$4)</x:f>
      </x:c>
      <x:c r="U15" s="212" t="str">
        <x:f>IF(B15="","",IF(OR(J15="",K15=""),"DATA TIDAK LENGKAP",IF(OR(N15&gt;Parameter!$B$5*1.2,R15&gt;Parameter!$B$6*1.2,S15&gt;Parameter!$B$7*1.2,P15&gt;0),"OVER LIMIT",IF(OR(N15&gt;Parameter!$B$5,R15&gt;Parameter!$B$6,S15&gt;Parameter!$B$7),"WARNING","NORMAL"))))</x:f>
      </x:c>
      <x:c r="V15" s="182"/>
      <x:c r="W15" s="188"/>
    </x:row>
    <x:row r="16">
      <x:c r="A16" s="194" t="n">
        <x:f>ROW()-4</x:f>
        <x:v>12</x:v>
      </x:c>
      <x:c r="B16" s="142"/>
      <x:c r="C16" s="143"/>
      <x:c r="D16" s="143"/>
      <x:c r="E16" s="182"/>
      <x:c r="F16" s="182"/>
      <x:c r="G16" s="182"/>
      <x:c r="H16" s="144"/>
      <x:c r="I16" s="144"/>
      <x:c r="J16" s="200" t="str">
        <x:f>IF(OR(H16="",I16=""),"",MAX(0,I16-H16))</x:f>
      </x:c>
      <x:c r="K16" s="145"/>
      <x:c r="L16" s="145"/>
      <x:c r="M16" s="145"/>
      <x:c r="N16" s="145"/>
      <x:c r="O16" s="145"/>
      <x:c r="P16" s="209" t="str">
        <x:f>IF(OR(N16="",O16=""),"",MAX(0,N16-O16))</x:f>
      </x:c>
      <x:c r="Q16" s="209" t="str">
        <x:f>IF(L16="","",L16+IF(M16="",0,M16)-IF(N16="",0,N16))</x:f>
      </x:c>
      <x:c r="R16" s="210" t="str">
        <x:f>IF(OR(J16="",J16=0,N16=""),"",N16/J16)</x:f>
      </x:c>
      <x:c r="S16" s="210" t="str">
        <x:f>IF(OR(K16="",K16=0,N16=""),"",N16/K16*1000)</x:f>
      </x:c>
      <x:c r="T16" s="211" t="str">
        <x:f>IF(N16="","",N16*Parameter!$B$4)</x:f>
      </x:c>
      <x:c r="U16" s="212" t="str">
        <x:f>IF(B16="","",IF(OR(J16="",K16=""),"DATA TIDAK LENGKAP",IF(OR(N16&gt;Parameter!$B$5*1.2,R16&gt;Parameter!$B$6*1.2,S16&gt;Parameter!$B$7*1.2,P16&gt;0),"OVER LIMIT",IF(OR(N16&gt;Parameter!$B$5,R16&gt;Parameter!$B$6,S16&gt;Parameter!$B$7),"WARNING","NORMAL"))))</x:f>
      </x:c>
      <x:c r="V16" s="182"/>
      <x:c r="W16" s="188"/>
    </x:row>
    <x:row r="17">
      <x:c r="A17" s="194" t="n">
        <x:f>ROW()-4</x:f>
        <x:v>13</x:v>
      </x:c>
      <x:c r="B17" s="142"/>
      <x:c r="C17" s="143"/>
      <x:c r="D17" s="143"/>
      <x:c r="E17" s="182"/>
      <x:c r="F17" s="182"/>
      <x:c r="G17" s="182"/>
      <x:c r="H17" s="144"/>
      <x:c r="I17" s="144"/>
      <x:c r="J17" s="200" t="str">
        <x:f>IF(OR(H17="",I17=""),"",MAX(0,I17-H17))</x:f>
      </x:c>
      <x:c r="K17" s="145"/>
      <x:c r="L17" s="145"/>
      <x:c r="M17" s="145"/>
      <x:c r="N17" s="145"/>
      <x:c r="O17" s="145"/>
      <x:c r="P17" s="209" t="str">
        <x:f>IF(OR(N17="",O17=""),"",MAX(0,N17-O17))</x:f>
      </x:c>
      <x:c r="Q17" s="209" t="str">
        <x:f>IF(L17="","",L17+IF(M17="",0,M17)-IF(N17="",0,N17))</x:f>
      </x:c>
      <x:c r="R17" s="210" t="str">
        <x:f>IF(OR(J17="",J17=0,N17=""),"",N17/J17)</x:f>
      </x:c>
      <x:c r="S17" s="210" t="str">
        <x:f>IF(OR(K17="",K17=0,N17=""),"",N17/K17*1000)</x:f>
      </x:c>
      <x:c r="T17" s="211" t="str">
        <x:f>IF(N17="","",N17*Parameter!$B$4)</x:f>
      </x:c>
      <x:c r="U17" s="212" t="str">
        <x:f>IF(B17="","",IF(OR(J17="",K17=""),"DATA TIDAK LENGKAP",IF(OR(N17&gt;Parameter!$B$5*1.2,R17&gt;Parameter!$B$6*1.2,S17&gt;Parameter!$B$7*1.2,P17&gt;0),"OVER LIMIT",IF(OR(N17&gt;Parameter!$B$5,R17&gt;Parameter!$B$6,S17&gt;Parameter!$B$7),"WARNING","NORMAL"))))</x:f>
      </x:c>
      <x:c r="V17" s="182"/>
      <x:c r="W17" s="188"/>
    </x:row>
    <x:row r="18">
      <x:c r="A18" s="194" t="n">
        <x:f>ROW()-4</x:f>
        <x:v>14</x:v>
      </x:c>
      <x:c r="B18" s="142"/>
      <x:c r="C18" s="143"/>
      <x:c r="D18" s="143"/>
      <x:c r="E18" s="182"/>
      <x:c r="F18" s="182"/>
      <x:c r="G18" s="182"/>
      <x:c r="H18" s="144"/>
      <x:c r="I18" s="144"/>
      <x:c r="J18" s="200" t="str">
        <x:f>IF(OR(H18="",I18=""),"",MAX(0,I18-H18))</x:f>
      </x:c>
      <x:c r="K18" s="145"/>
      <x:c r="L18" s="145"/>
      <x:c r="M18" s="145"/>
      <x:c r="N18" s="145"/>
      <x:c r="O18" s="145"/>
      <x:c r="P18" s="209" t="str">
        <x:f>IF(OR(N18="",O18=""),"",MAX(0,N18-O18))</x:f>
      </x:c>
      <x:c r="Q18" s="209" t="str">
        <x:f>IF(L18="","",L18+IF(M18="",0,M18)-IF(N18="",0,N18))</x:f>
      </x:c>
      <x:c r="R18" s="210" t="str">
        <x:f>IF(OR(J18="",J18=0,N18=""),"",N18/J18)</x:f>
      </x:c>
      <x:c r="S18" s="210" t="str">
        <x:f>IF(OR(K18="",K18=0,N18=""),"",N18/K18*1000)</x:f>
      </x:c>
      <x:c r="T18" s="211" t="str">
        <x:f>IF(N18="","",N18*Parameter!$B$4)</x:f>
      </x:c>
      <x:c r="U18" s="212" t="str">
        <x:f>IF(B18="","",IF(OR(J18="",K18=""),"DATA TIDAK LENGKAP",IF(OR(N18&gt;Parameter!$B$5*1.2,R18&gt;Parameter!$B$6*1.2,S18&gt;Parameter!$B$7*1.2,P18&gt;0),"OVER LIMIT",IF(OR(N18&gt;Parameter!$B$5,R18&gt;Parameter!$B$6,S18&gt;Parameter!$B$7),"WARNING","NORMAL"))))</x:f>
      </x:c>
      <x:c r="V18" s="182"/>
      <x:c r="W18" s="188"/>
    </x:row>
    <x:row r="19">
      <x:c r="A19" s="194" t="n">
        <x:f>ROW()-4</x:f>
        <x:v>15</x:v>
      </x:c>
      <x:c r="B19" s="142"/>
      <x:c r="C19" s="143"/>
      <x:c r="D19" s="143"/>
      <x:c r="E19" s="182"/>
      <x:c r="F19" s="182"/>
      <x:c r="G19" s="182"/>
      <x:c r="H19" s="144"/>
      <x:c r="I19" s="144"/>
      <x:c r="J19" s="200" t="str">
        <x:f>IF(OR(H19="",I19=""),"",MAX(0,I19-H19))</x:f>
      </x:c>
      <x:c r="K19" s="145"/>
      <x:c r="L19" s="145"/>
      <x:c r="M19" s="145"/>
      <x:c r="N19" s="145"/>
      <x:c r="O19" s="145"/>
      <x:c r="P19" s="209" t="str">
        <x:f>IF(OR(N19="",O19=""),"",MAX(0,N19-O19))</x:f>
      </x:c>
      <x:c r="Q19" s="209" t="str">
        <x:f>IF(L19="","",L19+IF(M19="",0,M19)-IF(N19="",0,N19))</x:f>
      </x:c>
      <x:c r="R19" s="210" t="str">
        <x:f>IF(OR(J19="",J19=0,N19=""),"",N19/J19)</x:f>
      </x:c>
      <x:c r="S19" s="210" t="str">
        <x:f>IF(OR(K19="",K19=0,N19=""),"",N19/K19*1000)</x:f>
      </x:c>
      <x:c r="T19" s="211" t="str">
        <x:f>IF(N19="","",N19*Parameter!$B$4)</x:f>
      </x:c>
      <x:c r="U19" s="212" t="str">
        <x:f>IF(B19="","",IF(OR(J19="",K19=""),"DATA TIDAK LENGKAP",IF(OR(N19&gt;Parameter!$B$5*1.2,R19&gt;Parameter!$B$6*1.2,S19&gt;Parameter!$B$7*1.2,P19&gt;0),"OVER LIMIT",IF(OR(N19&gt;Parameter!$B$5,R19&gt;Parameter!$B$6,S19&gt;Parameter!$B$7),"WARNING","NORMAL"))))</x:f>
      </x:c>
      <x:c r="V19" s="182"/>
      <x:c r="W19" s="188"/>
    </x:row>
    <x:row r="20">
      <x:c r="A20" s="194" t="n">
        <x:f>ROW()-4</x:f>
        <x:v>16</x:v>
      </x:c>
      <x:c r="B20" s="142"/>
      <x:c r="C20" s="143"/>
      <x:c r="D20" s="143"/>
      <x:c r="E20" s="182"/>
      <x:c r="F20" s="182"/>
      <x:c r="G20" s="182"/>
      <x:c r="H20" s="144"/>
      <x:c r="I20" s="144"/>
      <x:c r="J20" s="200" t="str">
        <x:f>IF(OR(H20="",I20=""),"",MAX(0,I20-H20))</x:f>
      </x:c>
      <x:c r="K20" s="145"/>
      <x:c r="L20" s="145"/>
      <x:c r="M20" s="145"/>
      <x:c r="N20" s="145"/>
      <x:c r="O20" s="145"/>
      <x:c r="P20" s="209" t="str">
        <x:f>IF(OR(N20="",O20=""),"",MAX(0,N20-O20))</x:f>
      </x:c>
      <x:c r="Q20" s="209" t="str">
        <x:f>IF(L20="","",L20+IF(M20="",0,M20)-IF(N20="",0,N20))</x:f>
      </x:c>
      <x:c r="R20" s="210" t="str">
        <x:f>IF(OR(J20="",J20=0,N20=""),"",N20/J20)</x:f>
      </x:c>
      <x:c r="S20" s="210" t="str">
        <x:f>IF(OR(K20="",K20=0,N20=""),"",N20/K20*1000)</x:f>
      </x:c>
      <x:c r="T20" s="211" t="str">
        <x:f>IF(N20="","",N20*Parameter!$B$4)</x:f>
      </x:c>
      <x:c r="U20" s="212" t="str">
        <x:f>IF(B20="","",IF(OR(J20="",K20=""),"DATA TIDAK LENGKAP",IF(OR(N20&gt;Parameter!$B$5*1.2,R20&gt;Parameter!$B$6*1.2,S20&gt;Parameter!$B$7*1.2,P20&gt;0),"OVER LIMIT",IF(OR(N20&gt;Parameter!$B$5,R20&gt;Parameter!$B$6,S20&gt;Parameter!$B$7),"WARNING","NORMAL"))))</x:f>
      </x:c>
      <x:c r="V20" s="182"/>
      <x:c r="W20" s="188"/>
    </x:row>
    <x:row r="21">
      <x:c r="A21" s="194" t="n">
        <x:f>ROW()-4</x:f>
        <x:v>17</x:v>
      </x:c>
      <x:c r="B21" s="142"/>
      <x:c r="C21" s="143"/>
      <x:c r="D21" s="143"/>
      <x:c r="E21" s="182"/>
      <x:c r="F21" s="182"/>
      <x:c r="G21" s="182"/>
      <x:c r="H21" s="144"/>
      <x:c r="I21" s="144"/>
      <x:c r="J21" s="200" t="str">
        <x:f>IF(OR(H21="",I21=""),"",MAX(0,I21-H21))</x:f>
      </x:c>
      <x:c r="K21" s="145"/>
      <x:c r="L21" s="145"/>
      <x:c r="M21" s="145"/>
      <x:c r="N21" s="145"/>
      <x:c r="O21" s="145"/>
      <x:c r="P21" s="209" t="str">
        <x:f>IF(OR(N21="",O21=""),"",MAX(0,N21-O21))</x:f>
      </x:c>
      <x:c r="Q21" s="209" t="str">
        <x:f>IF(L21="","",L21+IF(M21="",0,M21)-IF(N21="",0,N21))</x:f>
      </x:c>
      <x:c r="R21" s="210" t="str">
        <x:f>IF(OR(J21="",J21=0,N21=""),"",N21/J21)</x:f>
      </x:c>
      <x:c r="S21" s="210" t="str">
        <x:f>IF(OR(K21="",K21=0,N21=""),"",N21/K21*1000)</x:f>
      </x:c>
      <x:c r="T21" s="211" t="str">
        <x:f>IF(N21="","",N21*Parameter!$B$4)</x:f>
      </x:c>
      <x:c r="U21" s="212" t="str">
        <x:f>IF(B21="","",IF(OR(J21="",K21=""),"DATA TIDAK LENGKAP",IF(OR(N21&gt;Parameter!$B$5*1.2,R21&gt;Parameter!$B$6*1.2,S21&gt;Parameter!$B$7*1.2,P21&gt;0),"OVER LIMIT",IF(OR(N21&gt;Parameter!$B$5,R21&gt;Parameter!$B$6,S21&gt;Parameter!$B$7),"WARNING","NORMAL"))))</x:f>
      </x:c>
      <x:c r="V21" s="182"/>
      <x:c r="W21" s="188"/>
    </x:row>
    <x:row r="22">
      <x:c r="A22" s="194" t="n">
        <x:f>ROW()-4</x:f>
        <x:v>18</x:v>
      </x:c>
      <x:c r="B22" s="142"/>
      <x:c r="C22" s="143"/>
      <x:c r="D22" s="143"/>
      <x:c r="E22" s="182"/>
      <x:c r="F22" s="182"/>
      <x:c r="G22" s="182"/>
      <x:c r="H22" s="144"/>
      <x:c r="I22" s="144"/>
      <x:c r="J22" s="200" t="str">
        <x:f>IF(OR(H22="",I22=""),"",MAX(0,I22-H22))</x:f>
      </x:c>
      <x:c r="K22" s="145"/>
      <x:c r="L22" s="145"/>
      <x:c r="M22" s="145"/>
      <x:c r="N22" s="145"/>
      <x:c r="O22" s="145"/>
      <x:c r="P22" s="209" t="str">
        <x:f>IF(OR(N22="",O22=""),"",MAX(0,N22-O22))</x:f>
      </x:c>
      <x:c r="Q22" s="209" t="str">
        <x:f>IF(L22="","",L22+IF(M22="",0,M22)-IF(N22="",0,N22))</x:f>
      </x:c>
      <x:c r="R22" s="210" t="str">
        <x:f>IF(OR(J22="",J22=0,N22=""),"",N22/J22)</x:f>
      </x:c>
      <x:c r="S22" s="210" t="str">
        <x:f>IF(OR(K22="",K22=0,N22=""),"",N22/K22*1000)</x:f>
      </x:c>
      <x:c r="T22" s="211" t="str">
        <x:f>IF(N22="","",N22*Parameter!$B$4)</x:f>
      </x:c>
      <x:c r="U22" s="212" t="str">
        <x:f>IF(B22="","",IF(OR(J22="",K22=""),"DATA TIDAK LENGKAP",IF(OR(N22&gt;Parameter!$B$5*1.2,R22&gt;Parameter!$B$6*1.2,S22&gt;Parameter!$B$7*1.2,P22&gt;0),"OVER LIMIT",IF(OR(N22&gt;Parameter!$B$5,R22&gt;Parameter!$B$6,S22&gt;Parameter!$B$7),"WARNING","NORMAL"))))</x:f>
      </x:c>
      <x:c r="V22" s="182"/>
      <x:c r="W22" s="188"/>
    </x:row>
    <x:row r="23">
      <x:c r="A23" s="194" t="n">
        <x:f>ROW()-4</x:f>
        <x:v>19</x:v>
      </x:c>
      <x:c r="B23" s="142"/>
      <x:c r="C23" s="143"/>
      <x:c r="D23" s="143"/>
      <x:c r="E23" s="182"/>
      <x:c r="F23" s="182"/>
      <x:c r="G23" s="182"/>
      <x:c r="H23" s="144"/>
      <x:c r="I23" s="144"/>
      <x:c r="J23" s="200" t="str">
        <x:f>IF(OR(H23="",I23=""),"",MAX(0,I23-H23))</x:f>
      </x:c>
      <x:c r="K23" s="145"/>
      <x:c r="L23" s="145"/>
      <x:c r="M23" s="145"/>
      <x:c r="N23" s="145"/>
      <x:c r="O23" s="145"/>
      <x:c r="P23" s="209" t="str">
        <x:f>IF(OR(N23="",O23=""),"",MAX(0,N23-O23))</x:f>
      </x:c>
      <x:c r="Q23" s="209" t="str">
        <x:f>IF(L23="","",L23+IF(M23="",0,M23)-IF(N23="",0,N23))</x:f>
      </x:c>
      <x:c r="R23" s="210" t="str">
        <x:f>IF(OR(J23="",J23=0,N23=""),"",N23/J23)</x:f>
      </x:c>
      <x:c r="S23" s="210" t="str">
        <x:f>IF(OR(K23="",K23=0,N23=""),"",N23/K23*1000)</x:f>
      </x:c>
      <x:c r="T23" s="211" t="str">
        <x:f>IF(N23="","",N23*Parameter!$B$4)</x:f>
      </x:c>
      <x:c r="U23" s="212" t="str">
        <x:f>IF(B23="","",IF(OR(J23="",K23=""),"DATA TIDAK LENGKAP",IF(OR(N23&gt;Parameter!$B$5*1.2,R23&gt;Parameter!$B$6*1.2,S23&gt;Parameter!$B$7*1.2,P23&gt;0),"OVER LIMIT",IF(OR(N23&gt;Parameter!$B$5,R23&gt;Parameter!$B$6,S23&gt;Parameter!$B$7),"WARNING","NORMAL"))))</x:f>
      </x:c>
      <x:c r="V23" s="182"/>
      <x:c r="W23" s="188"/>
    </x:row>
    <x:row r="24">
      <x:c r="A24" s="194" t="n">
        <x:f>ROW()-4</x:f>
        <x:v>20</x:v>
      </x:c>
      <x:c r="B24" s="142"/>
      <x:c r="C24" s="143"/>
      <x:c r="D24" s="143"/>
      <x:c r="E24" s="182"/>
      <x:c r="F24" s="182"/>
      <x:c r="G24" s="182"/>
      <x:c r="H24" s="144"/>
      <x:c r="I24" s="144"/>
      <x:c r="J24" s="200" t="str">
        <x:f>IF(OR(H24="",I24=""),"",MAX(0,I24-H24))</x:f>
      </x:c>
      <x:c r="K24" s="145"/>
      <x:c r="L24" s="145"/>
      <x:c r="M24" s="145"/>
      <x:c r="N24" s="145"/>
      <x:c r="O24" s="145"/>
      <x:c r="P24" s="209" t="str">
        <x:f>IF(OR(N24="",O24=""),"",MAX(0,N24-O24))</x:f>
      </x:c>
      <x:c r="Q24" s="209" t="str">
        <x:f>IF(L24="","",L24+IF(M24="",0,M24)-IF(N24="",0,N24))</x:f>
      </x:c>
      <x:c r="R24" s="210" t="str">
        <x:f>IF(OR(J24="",J24=0,N24=""),"",N24/J24)</x:f>
      </x:c>
      <x:c r="S24" s="210" t="str">
        <x:f>IF(OR(K24="",K24=0,N24=""),"",N24/K24*1000)</x:f>
      </x:c>
      <x:c r="T24" s="211" t="str">
        <x:f>IF(N24="","",N24*Parameter!$B$4)</x:f>
      </x:c>
      <x:c r="U24" s="212" t="str">
        <x:f>IF(B24="","",IF(OR(J24="",K24=""),"DATA TIDAK LENGKAP",IF(OR(N24&gt;Parameter!$B$5*1.2,R24&gt;Parameter!$B$6*1.2,S24&gt;Parameter!$B$7*1.2,P24&gt;0),"OVER LIMIT",IF(OR(N24&gt;Parameter!$B$5,R24&gt;Parameter!$B$6,S24&gt;Parameter!$B$7),"WARNING","NORMAL"))))</x:f>
      </x:c>
      <x:c r="V24" s="182"/>
      <x:c r="W24" s="188"/>
    </x:row>
    <x:row r="25">
      <x:c r="A25" s="194" t="n">
        <x:f>ROW()-4</x:f>
        <x:v>21</x:v>
      </x:c>
      <x:c r="B25" s="142"/>
      <x:c r="C25" s="143"/>
      <x:c r="D25" s="143"/>
      <x:c r="E25" s="182"/>
      <x:c r="F25" s="182"/>
      <x:c r="G25" s="182"/>
      <x:c r="H25" s="144"/>
      <x:c r="I25" s="144"/>
      <x:c r="J25" s="200" t="str">
        <x:f>IF(OR(H25="",I25=""),"",MAX(0,I25-H25))</x:f>
      </x:c>
      <x:c r="K25" s="145"/>
      <x:c r="L25" s="145"/>
      <x:c r="M25" s="145"/>
      <x:c r="N25" s="145"/>
      <x:c r="O25" s="145"/>
      <x:c r="P25" s="209" t="str">
        <x:f>IF(OR(N25="",O25=""),"",MAX(0,N25-O25))</x:f>
      </x:c>
      <x:c r="Q25" s="209" t="str">
        <x:f>IF(L25="","",L25+IF(M25="",0,M25)-IF(N25="",0,N25))</x:f>
      </x:c>
      <x:c r="R25" s="210" t="str">
        <x:f>IF(OR(J25="",J25=0,N25=""),"",N25/J25)</x:f>
      </x:c>
      <x:c r="S25" s="210" t="str">
        <x:f>IF(OR(K25="",K25=0,N25=""),"",N25/K25*1000)</x:f>
      </x:c>
      <x:c r="T25" s="211" t="str">
        <x:f>IF(N25="","",N25*Parameter!$B$4)</x:f>
      </x:c>
      <x:c r="U25" s="212" t="str">
        <x:f>IF(B25="","",IF(OR(J25="",K25=""),"DATA TIDAK LENGKAP",IF(OR(N25&gt;Parameter!$B$5*1.2,R25&gt;Parameter!$B$6*1.2,S25&gt;Parameter!$B$7*1.2,P25&gt;0),"OVER LIMIT",IF(OR(N25&gt;Parameter!$B$5,R25&gt;Parameter!$B$6,S25&gt;Parameter!$B$7),"WARNING","NORMAL"))))</x:f>
      </x:c>
      <x:c r="V25" s="182"/>
      <x:c r="W25" s="188"/>
    </x:row>
    <x:row r="26">
      <x:c r="A26" s="194" t="n">
        <x:f>ROW()-4</x:f>
        <x:v>22</x:v>
      </x:c>
      <x:c r="B26" s="142"/>
      <x:c r="C26" s="143"/>
      <x:c r="D26" s="143"/>
      <x:c r="E26" s="182"/>
      <x:c r="F26" s="182"/>
      <x:c r="G26" s="182"/>
      <x:c r="H26" s="144"/>
      <x:c r="I26" s="144"/>
      <x:c r="J26" s="200" t="str">
        <x:f>IF(OR(H26="",I26=""),"",MAX(0,I26-H26))</x:f>
      </x:c>
      <x:c r="K26" s="145"/>
      <x:c r="L26" s="145"/>
      <x:c r="M26" s="145"/>
      <x:c r="N26" s="145"/>
      <x:c r="O26" s="145"/>
      <x:c r="P26" s="209" t="str">
        <x:f>IF(OR(N26="",O26=""),"",MAX(0,N26-O26))</x:f>
      </x:c>
      <x:c r="Q26" s="209" t="str">
        <x:f>IF(L26="","",L26+IF(M26="",0,M26)-IF(N26="",0,N26))</x:f>
      </x:c>
      <x:c r="R26" s="210" t="str">
        <x:f>IF(OR(J26="",J26=0,N26=""),"",N26/J26)</x:f>
      </x:c>
      <x:c r="S26" s="210" t="str">
        <x:f>IF(OR(K26="",K26=0,N26=""),"",N26/K26*1000)</x:f>
      </x:c>
      <x:c r="T26" s="211" t="str">
        <x:f>IF(N26="","",N26*Parameter!$B$4)</x:f>
      </x:c>
      <x:c r="U26" s="212" t="str">
        <x:f>IF(B26="","",IF(OR(J26="",K26=""),"DATA TIDAK LENGKAP",IF(OR(N26&gt;Parameter!$B$5*1.2,R26&gt;Parameter!$B$6*1.2,S26&gt;Parameter!$B$7*1.2,P26&gt;0),"OVER LIMIT",IF(OR(N26&gt;Parameter!$B$5,R26&gt;Parameter!$B$6,S26&gt;Parameter!$B$7),"WARNING","NORMAL"))))</x:f>
      </x:c>
      <x:c r="V26" s="182"/>
      <x:c r="W26" s="188"/>
    </x:row>
    <x:row r="27">
      <x:c r="A27" s="194" t="n">
        <x:f>ROW()-4</x:f>
        <x:v>23</x:v>
      </x:c>
      <x:c r="B27" s="142"/>
      <x:c r="C27" s="143"/>
      <x:c r="D27" s="143"/>
      <x:c r="E27" s="182"/>
      <x:c r="F27" s="182"/>
      <x:c r="G27" s="182"/>
      <x:c r="H27" s="144"/>
      <x:c r="I27" s="144"/>
      <x:c r="J27" s="200" t="str">
        <x:f>IF(OR(H27="",I27=""),"",MAX(0,I27-H27))</x:f>
      </x:c>
      <x:c r="K27" s="145"/>
      <x:c r="L27" s="145"/>
      <x:c r="M27" s="145"/>
      <x:c r="N27" s="145"/>
      <x:c r="O27" s="145"/>
      <x:c r="P27" s="209" t="str">
        <x:f>IF(OR(N27="",O27=""),"",MAX(0,N27-O27))</x:f>
      </x:c>
      <x:c r="Q27" s="209" t="str">
        <x:f>IF(L27="","",L27+IF(M27="",0,M27)-IF(N27="",0,N27))</x:f>
      </x:c>
      <x:c r="R27" s="210" t="str">
        <x:f>IF(OR(J27="",J27=0,N27=""),"",N27/J27)</x:f>
      </x:c>
      <x:c r="S27" s="210" t="str">
        <x:f>IF(OR(K27="",K27=0,N27=""),"",N27/K27*1000)</x:f>
      </x:c>
      <x:c r="T27" s="211" t="str">
        <x:f>IF(N27="","",N27*Parameter!$B$4)</x:f>
      </x:c>
      <x:c r="U27" s="212" t="str">
        <x:f>IF(B27="","",IF(OR(J27="",K27=""),"DATA TIDAK LENGKAP",IF(OR(N27&gt;Parameter!$B$5*1.2,R27&gt;Parameter!$B$6*1.2,S27&gt;Parameter!$B$7*1.2,P27&gt;0),"OVER LIMIT",IF(OR(N27&gt;Parameter!$B$5,R27&gt;Parameter!$B$6,S27&gt;Parameter!$B$7),"WARNING","NORMAL"))))</x:f>
      </x:c>
      <x:c r="V27" s="182"/>
      <x:c r="W27" s="188"/>
    </x:row>
    <x:row r="28">
      <x:c r="A28" s="194" t="n">
        <x:f>ROW()-4</x:f>
        <x:v>24</x:v>
      </x:c>
      <x:c r="B28" s="142"/>
      <x:c r="C28" s="143"/>
      <x:c r="D28" s="143"/>
      <x:c r="E28" s="182"/>
      <x:c r="F28" s="182"/>
      <x:c r="G28" s="182"/>
      <x:c r="H28" s="144"/>
      <x:c r="I28" s="144"/>
      <x:c r="J28" s="200" t="str">
        <x:f>IF(OR(H28="",I28=""),"",MAX(0,I28-H28))</x:f>
      </x:c>
      <x:c r="K28" s="145"/>
      <x:c r="L28" s="145"/>
      <x:c r="M28" s="145"/>
      <x:c r="N28" s="145"/>
      <x:c r="O28" s="145"/>
      <x:c r="P28" s="209" t="str">
        <x:f>IF(OR(N28="",O28=""),"",MAX(0,N28-O28))</x:f>
      </x:c>
      <x:c r="Q28" s="209" t="str">
        <x:f>IF(L28="","",L28+IF(M28="",0,M28)-IF(N28="",0,N28))</x:f>
      </x:c>
      <x:c r="R28" s="210" t="str">
        <x:f>IF(OR(J28="",J28=0,N28=""),"",N28/J28)</x:f>
      </x:c>
      <x:c r="S28" s="210" t="str">
        <x:f>IF(OR(K28="",K28=0,N28=""),"",N28/K28*1000)</x:f>
      </x:c>
      <x:c r="T28" s="211" t="str">
        <x:f>IF(N28="","",N28*Parameter!$B$4)</x:f>
      </x:c>
      <x:c r="U28" s="212" t="str">
        <x:f>IF(B28="","",IF(OR(J28="",K28=""),"DATA TIDAK LENGKAP",IF(OR(N28&gt;Parameter!$B$5*1.2,R28&gt;Parameter!$B$6*1.2,S28&gt;Parameter!$B$7*1.2,P28&gt;0),"OVER LIMIT",IF(OR(N28&gt;Parameter!$B$5,R28&gt;Parameter!$B$6,S28&gt;Parameter!$B$7),"WARNING","NORMAL"))))</x:f>
      </x:c>
      <x:c r="V28" s="182"/>
      <x:c r="W28" s="188"/>
    </x:row>
    <x:row r="29">
      <x:c r="A29" s="194" t="n">
        <x:f>ROW()-4</x:f>
        <x:v>25</x:v>
      </x:c>
      <x:c r="B29" s="142"/>
      <x:c r="C29" s="143"/>
      <x:c r="D29" s="143"/>
      <x:c r="E29" s="182"/>
      <x:c r="F29" s="182"/>
      <x:c r="G29" s="182"/>
      <x:c r="H29" s="144"/>
      <x:c r="I29" s="144"/>
      <x:c r="J29" s="200" t="str">
        <x:f>IF(OR(H29="",I29=""),"",MAX(0,I29-H29))</x:f>
      </x:c>
      <x:c r="K29" s="145"/>
      <x:c r="L29" s="145"/>
      <x:c r="M29" s="145"/>
      <x:c r="N29" s="145"/>
      <x:c r="O29" s="145"/>
      <x:c r="P29" s="209" t="str">
        <x:f>IF(OR(N29="",O29=""),"",MAX(0,N29-O29))</x:f>
      </x:c>
      <x:c r="Q29" s="209" t="str">
        <x:f>IF(L29="","",L29+IF(M29="",0,M29)-IF(N29="",0,N29))</x:f>
      </x:c>
      <x:c r="R29" s="210" t="str">
        <x:f>IF(OR(J29="",J29=0,N29=""),"",N29/J29)</x:f>
      </x:c>
      <x:c r="S29" s="210" t="str">
        <x:f>IF(OR(K29="",K29=0,N29=""),"",N29/K29*1000)</x:f>
      </x:c>
      <x:c r="T29" s="211" t="str">
        <x:f>IF(N29="","",N29*Parameter!$B$4)</x:f>
      </x:c>
      <x:c r="U29" s="212" t="str">
        <x:f>IF(B29="","",IF(OR(J29="",K29=""),"DATA TIDAK LENGKAP",IF(OR(N29&gt;Parameter!$B$5*1.2,R29&gt;Parameter!$B$6*1.2,S29&gt;Parameter!$B$7*1.2,P29&gt;0),"OVER LIMIT",IF(OR(N29&gt;Parameter!$B$5,R29&gt;Parameter!$B$6,S29&gt;Parameter!$B$7),"WARNING","NORMAL"))))</x:f>
      </x:c>
      <x:c r="V29" s="182"/>
      <x:c r="W29" s="188"/>
    </x:row>
    <x:row r="30">
      <x:c r="A30" s="194" t="n">
        <x:f>ROW()-4</x:f>
        <x:v>26</x:v>
      </x:c>
      <x:c r="B30" s="142"/>
      <x:c r="C30" s="143"/>
      <x:c r="D30" s="143"/>
      <x:c r="E30" s="182"/>
      <x:c r="F30" s="182"/>
      <x:c r="G30" s="182"/>
      <x:c r="H30" s="144"/>
      <x:c r="I30" s="144"/>
      <x:c r="J30" s="200" t="str">
        <x:f>IF(OR(H30="",I30=""),"",MAX(0,I30-H30))</x:f>
      </x:c>
      <x:c r="K30" s="145"/>
      <x:c r="L30" s="145"/>
      <x:c r="M30" s="145"/>
      <x:c r="N30" s="145"/>
      <x:c r="O30" s="145"/>
      <x:c r="P30" s="209" t="str">
        <x:f>IF(OR(N30="",O30=""),"",MAX(0,N30-O30))</x:f>
      </x:c>
      <x:c r="Q30" s="209" t="str">
        <x:f>IF(L30="","",L30+IF(M30="",0,M30)-IF(N30="",0,N30))</x:f>
      </x:c>
      <x:c r="R30" s="210" t="str">
        <x:f>IF(OR(J30="",J30=0,N30=""),"",N30/J30)</x:f>
      </x:c>
      <x:c r="S30" s="210" t="str">
        <x:f>IF(OR(K30="",K30=0,N30=""),"",N30/K30*1000)</x:f>
      </x:c>
      <x:c r="T30" s="211" t="str">
        <x:f>IF(N30="","",N30*Parameter!$B$4)</x:f>
      </x:c>
      <x:c r="U30" s="212" t="str">
        <x:f>IF(B30="","",IF(OR(J30="",K30=""),"DATA TIDAK LENGKAP",IF(OR(N30&gt;Parameter!$B$5*1.2,R30&gt;Parameter!$B$6*1.2,S30&gt;Parameter!$B$7*1.2,P30&gt;0),"OVER LIMIT",IF(OR(N30&gt;Parameter!$B$5,R30&gt;Parameter!$B$6,S30&gt;Parameter!$B$7),"WARNING","NORMAL"))))</x:f>
      </x:c>
      <x:c r="V30" s="182"/>
      <x:c r="W30" s="188"/>
    </x:row>
    <x:row r="31">
      <x:c r="A31" s="194" t="n">
        <x:f>ROW()-4</x:f>
        <x:v>27</x:v>
      </x:c>
      <x:c r="B31" s="142"/>
      <x:c r="C31" s="143"/>
      <x:c r="D31" s="143"/>
      <x:c r="E31" s="182"/>
      <x:c r="F31" s="182"/>
      <x:c r="G31" s="182"/>
      <x:c r="H31" s="144"/>
      <x:c r="I31" s="144"/>
      <x:c r="J31" s="200" t="str">
        <x:f>IF(OR(H31="",I31=""),"",MAX(0,I31-H31))</x:f>
      </x:c>
      <x:c r="K31" s="145"/>
      <x:c r="L31" s="145"/>
      <x:c r="M31" s="145"/>
      <x:c r="N31" s="145"/>
      <x:c r="O31" s="145"/>
      <x:c r="P31" s="209" t="str">
        <x:f>IF(OR(N31="",O31=""),"",MAX(0,N31-O31))</x:f>
      </x:c>
      <x:c r="Q31" s="209" t="str">
        <x:f>IF(L31="","",L31+IF(M31="",0,M31)-IF(N31="",0,N31))</x:f>
      </x:c>
      <x:c r="R31" s="210" t="str">
        <x:f>IF(OR(J31="",J31=0,N31=""),"",N31/J31)</x:f>
      </x:c>
      <x:c r="S31" s="210" t="str">
        <x:f>IF(OR(K31="",K31=0,N31=""),"",N31/K31*1000)</x:f>
      </x:c>
      <x:c r="T31" s="211" t="str">
        <x:f>IF(N31="","",N31*Parameter!$B$4)</x:f>
      </x:c>
      <x:c r="U31" s="212" t="str">
        <x:f>IF(B31="","",IF(OR(J31="",K31=""),"DATA TIDAK LENGKAP",IF(OR(N31&gt;Parameter!$B$5*1.2,R31&gt;Parameter!$B$6*1.2,S31&gt;Parameter!$B$7*1.2,P31&gt;0),"OVER LIMIT",IF(OR(N31&gt;Parameter!$B$5,R31&gt;Parameter!$B$6,S31&gt;Parameter!$B$7),"WARNING","NORMAL"))))</x:f>
      </x:c>
      <x:c r="V31" s="182"/>
      <x:c r="W31" s="188"/>
    </x:row>
    <x:row r="32">
      <x:c r="A32" s="194" t="n">
        <x:f>ROW()-4</x:f>
        <x:v>28</x:v>
      </x:c>
      <x:c r="B32" s="142"/>
      <x:c r="C32" s="143"/>
      <x:c r="D32" s="143"/>
      <x:c r="E32" s="182"/>
      <x:c r="F32" s="182"/>
      <x:c r="G32" s="182"/>
      <x:c r="H32" s="144"/>
      <x:c r="I32" s="144"/>
      <x:c r="J32" s="200" t="str">
        <x:f>IF(OR(H32="",I32=""),"",MAX(0,I32-H32))</x:f>
      </x:c>
      <x:c r="K32" s="145"/>
      <x:c r="L32" s="145"/>
      <x:c r="M32" s="145"/>
      <x:c r="N32" s="145"/>
      <x:c r="O32" s="145"/>
      <x:c r="P32" s="209" t="str">
        <x:f>IF(OR(N32="",O32=""),"",MAX(0,N32-O32))</x:f>
      </x:c>
      <x:c r="Q32" s="209" t="str">
        <x:f>IF(L32="","",L32+IF(M32="",0,M32)-IF(N32="",0,N32))</x:f>
      </x:c>
      <x:c r="R32" s="210" t="str">
        <x:f>IF(OR(J32="",J32=0,N32=""),"",N32/J32)</x:f>
      </x:c>
      <x:c r="S32" s="210" t="str">
        <x:f>IF(OR(K32="",K32=0,N32=""),"",N32/K32*1000)</x:f>
      </x:c>
      <x:c r="T32" s="211" t="str">
        <x:f>IF(N32="","",N32*Parameter!$B$4)</x:f>
      </x:c>
      <x:c r="U32" s="212" t="str">
        <x:f>IF(B32="","",IF(OR(J32="",K32=""),"DATA TIDAK LENGKAP",IF(OR(N32&gt;Parameter!$B$5*1.2,R32&gt;Parameter!$B$6*1.2,S32&gt;Parameter!$B$7*1.2,P32&gt;0),"OVER LIMIT",IF(OR(N32&gt;Parameter!$B$5,R32&gt;Parameter!$B$6,S32&gt;Parameter!$B$7),"WARNING","NORMAL"))))</x:f>
      </x:c>
      <x:c r="V32" s="182"/>
      <x:c r="W32" s="188"/>
    </x:row>
    <x:row r="33">
      <x:c r="A33" s="194" t="n">
        <x:f>ROW()-4</x:f>
        <x:v>29</x:v>
      </x:c>
      <x:c r="B33" s="142"/>
      <x:c r="C33" s="143"/>
      <x:c r="D33" s="143"/>
      <x:c r="E33" s="182"/>
      <x:c r="F33" s="182"/>
      <x:c r="G33" s="182"/>
      <x:c r="H33" s="144"/>
      <x:c r="I33" s="144"/>
      <x:c r="J33" s="200" t="str">
        <x:f>IF(OR(H33="",I33=""),"",MAX(0,I33-H33))</x:f>
      </x:c>
      <x:c r="K33" s="145"/>
      <x:c r="L33" s="145"/>
      <x:c r="M33" s="145"/>
      <x:c r="N33" s="145"/>
      <x:c r="O33" s="145"/>
      <x:c r="P33" s="209" t="str">
        <x:f>IF(OR(N33="",O33=""),"",MAX(0,N33-O33))</x:f>
      </x:c>
      <x:c r="Q33" s="209" t="str">
        <x:f>IF(L33="","",L33+IF(M33="",0,M33)-IF(N33="",0,N33))</x:f>
      </x:c>
      <x:c r="R33" s="210" t="str">
        <x:f>IF(OR(J33="",J33=0,N33=""),"",N33/J33)</x:f>
      </x:c>
      <x:c r="S33" s="210" t="str">
        <x:f>IF(OR(K33="",K33=0,N33=""),"",N33/K33*1000)</x:f>
      </x:c>
      <x:c r="T33" s="211" t="str">
        <x:f>IF(N33="","",N33*Parameter!$B$4)</x:f>
      </x:c>
      <x:c r="U33" s="212" t="str">
        <x:f>IF(B33="","",IF(OR(J33="",K33=""),"DATA TIDAK LENGKAP",IF(OR(N33&gt;Parameter!$B$5*1.2,R33&gt;Parameter!$B$6*1.2,S33&gt;Parameter!$B$7*1.2,P33&gt;0),"OVER LIMIT",IF(OR(N33&gt;Parameter!$B$5,R33&gt;Parameter!$B$6,S33&gt;Parameter!$B$7),"WARNING","NORMAL"))))</x:f>
      </x:c>
      <x:c r="V33" s="182"/>
      <x:c r="W33" s="188"/>
    </x:row>
    <x:row r="34">
      <x:c r="A34" s="194" t="n">
        <x:f>ROW()-4</x:f>
        <x:v>30</x:v>
      </x:c>
      <x:c r="B34" s="142"/>
      <x:c r="C34" s="143"/>
      <x:c r="D34" s="143"/>
      <x:c r="E34" s="182"/>
      <x:c r="F34" s="182"/>
      <x:c r="G34" s="182"/>
      <x:c r="H34" s="144"/>
      <x:c r="I34" s="144"/>
      <x:c r="J34" s="200" t="str">
        <x:f>IF(OR(H34="",I34=""),"",MAX(0,I34-H34))</x:f>
      </x:c>
      <x:c r="K34" s="145"/>
      <x:c r="L34" s="145"/>
      <x:c r="M34" s="145"/>
      <x:c r="N34" s="145"/>
      <x:c r="O34" s="145"/>
      <x:c r="P34" s="209" t="str">
        <x:f>IF(OR(N34="",O34=""),"",MAX(0,N34-O34))</x:f>
      </x:c>
      <x:c r="Q34" s="209" t="str">
        <x:f>IF(L34="","",L34+IF(M34="",0,M34)-IF(N34="",0,N34))</x:f>
      </x:c>
      <x:c r="R34" s="210" t="str">
        <x:f>IF(OR(J34="",J34=0,N34=""),"",N34/J34)</x:f>
      </x:c>
      <x:c r="S34" s="210" t="str">
        <x:f>IF(OR(K34="",K34=0,N34=""),"",N34/K34*1000)</x:f>
      </x:c>
      <x:c r="T34" s="211" t="str">
        <x:f>IF(N34="","",N34*Parameter!$B$4)</x:f>
      </x:c>
      <x:c r="U34" s="212" t="str">
        <x:f>IF(B34="","",IF(OR(J34="",K34=""),"DATA TIDAK LENGKAP",IF(OR(N34&gt;Parameter!$B$5*1.2,R34&gt;Parameter!$B$6*1.2,S34&gt;Parameter!$B$7*1.2,P34&gt;0),"OVER LIMIT",IF(OR(N34&gt;Parameter!$B$5,R34&gt;Parameter!$B$6,S34&gt;Parameter!$B$7),"WARNING","NORMAL"))))</x:f>
      </x:c>
      <x:c r="V34" s="182"/>
      <x:c r="W34" s="188"/>
    </x:row>
    <x:row r="35">
      <x:c r="A35" s="194" t="n">
        <x:f>ROW()-4</x:f>
        <x:v>31</x:v>
      </x:c>
      <x:c r="B35" s="142"/>
      <x:c r="C35" s="143"/>
      <x:c r="D35" s="143"/>
      <x:c r="E35" s="182"/>
      <x:c r="F35" s="182"/>
      <x:c r="G35" s="182"/>
      <x:c r="H35" s="144"/>
      <x:c r="I35" s="144"/>
      <x:c r="J35" s="200" t="str">
        <x:f>IF(OR(H35="",I35=""),"",MAX(0,I35-H35))</x:f>
      </x:c>
      <x:c r="K35" s="145"/>
      <x:c r="L35" s="145"/>
      <x:c r="M35" s="145"/>
      <x:c r="N35" s="145"/>
      <x:c r="O35" s="145"/>
      <x:c r="P35" s="209" t="str">
        <x:f>IF(OR(N35="",O35=""),"",MAX(0,N35-O35))</x:f>
      </x:c>
      <x:c r="Q35" s="209" t="str">
        <x:f>IF(L35="","",L35+IF(M35="",0,M35)-IF(N35="",0,N35))</x:f>
      </x:c>
      <x:c r="R35" s="210" t="str">
        <x:f>IF(OR(J35="",J35=0,N35=""),"",N35/J35)</x:f>
      </x:c>
      <x:c r="S35" s="210" t="str">
        <x:f>IF(OR(K35="",K35=0,N35=""),"",N35/K35*1000)</x:f>
      </x:c>
      <x:c r="T35" s="211" t="str">
        <x:f>IF(N35="","",N35*Parameter!$B$4)</x:f>
      </x:c>
      <x:c r="U35" s="212" t="str">
        <x:f>IF(B35="","",IF(OR(J35="",K35=""),"DATA TIDAK LENGKAP",IF(OR(N35&gt;Parameter!$B$5*1.2,R35&gt;Parameter!$B$6*1.2,S35&gt;Parameter!$B$7*1.2,P35&gt;0),"OVER LIMIT",IF(OR(N35&gt;Parameter!$B$5,R35&gt;Parameter!$B$6,S35&gt;Parameter!$B$7),"WARNING","NORMAL"))))</x:f>
      </x:c>
      <x:c r="V35" s="182"/>
      <x:c r="W35" s="188"/>
    </x:row>
    <x:row r="36">
      <x:c r="A36" s="194" t="n">
        <x:f>ROW()-4</x:f>
        <x:v>32</x:v>
      </x:c>
      <x:c r="B36" s="142"/>
      <x:c r="C36" s="143"/>
      <x:c r="D36" s="143"/>
      <x:c r="E36" s="182"/>
      <x:c r="F36" s="182"/>
      <x:c r="G36" s="182"/>
      <x:c r="H36" s="144"/>
      <x:c r="I36" s="144"/>
      <x:c r="J36" s="200" t="str">
        <x:f>IF(OR(H36="",I36=""),"",MAX(0,I36-H36))</x:f>
      </x:c>
      <x:c r="K36" s="145"/>
      <x:c r="L36" s="145"/>
      <x:c r="M36" s="145"/>
      <x:c r="N36" s="145"/>
      <x:c r="O36" s="145"/>
      <x:c r="P36" s="209" t="str">
        <x:f>IF(OR(N36="",O36=""),"",MAX(0,N36-O36))</x:f>
      </x:c>
      <x:c r="Q36" s="209" t="str">
        <x:f>IF(L36="","",L36+IF(M36="",0,M36)-IF(N36="",0,N36))</x:f>
      </x:c>
      <x:c r="R36" s="210" t="str">
        <x:f>IF(OR(J36="",J36=0,N36=""),"",N36/J36)</x:f>
      </x:c>
      <x:c r="S36" s="210" t="str">
        <x:f>IF(OR(K36="",K36=0,N36=""),"",N36/K36*1000)</x:f>
      </x:c>
      <x:c r="T36" s="211" t="str">
        <x:f>IF(N36="","",N36*Parameter!$B$4)</x:f>
      </x:c>
      <x:c r="U36" s="212" t="str">
        <x:f>IF(B36="","",IF(OR(J36="",K36=""),"DATA TIDAK LENGKAP",IF(OR(N36&gt;Parameter!$B$5*1.2,R36&gt;Parameter!$B$6*1.2,S36&gt;Parameter!$B$7*1.2,P36&gt;0),"OVER LIMIT",IF(OR(N36&gt;Parameter!$B$5,R36&gt;Parameter!$B$6,S36&gt;Parameter!$B$7),"WARNING","NORMAL"))))</x:f>
      </x:c>
      <x:c r="V36" s="182"/>
      <x:c r="W36" s="188"/>
    </x:row>
    <x:row r="37">
      <x:c r="A37" s="194" t="n">
        <x:f>ROW()-4</x:f>
        <x:v>33</x:v>
      </x:c>
      <x:c r="B37" s="142"/>
      <x:c r="C37" s="143"/>
      <x:c r="D37" s="143"/>
      <x:c r="E37" s="182"/>
      <x:c r="F37" s="182"/>
      <x:c r="G37" s="182"/>
      <x:c r="H37" s="144"/>
      <x:c r="I37" s="144"/>
      <x:c r="J37" s="200" t="str">
        <x:f>IF(OR(H37="",I37=""),"",MAX(0,I37-H37))</x:f>
      </x:c>
      <x:c r="K37" s="145"/>
      <x:c r="L37" s="145"/>
      <x:c r="M37" s="145"/>
      <x:c r="N37" s="145"/>
      <x:c r="O37" s="145"/>
      <x:c r="P37" s="209" t="str">
        <x:f>IF(OR(N37="",O37=""),"",MAX(0,N37-O37))</x:f>
      </x:c>
      <x:c r="Q37" s="209" t="str">
        <x:f>IF(L37="","",L37+IF(M37="",0,M37)-IF(N37="",0,N37))</x:f>
      </x:c>
      <x:c r="R37" s="210" t="str">
        <x:f>IF(OR(J37="",J37=0,N37=""),"",N37/J37)</x:f>
      </x:c>
      <x:c r="S37" s="210" t="str">
        <x:f>IF(OR(K37="",K37=0,N37=""),"",N37/K37*1000)</x:f>
      </x:c>
      <x:c r="T37" s="211" t="str">
        <x:f>IF(N37="","",N37*Parameter!$B$4)</x:f>
      </x:c>
      <x:c r="U37" s="212" t="str">
        <x:f>IF(B37="","",IF(OR(J37="",K37=""),"DATA TIDAK LENGKAP",IF(OR(N37&gt;Parameter!$B$5*1.2,R37&gt;Parameter!$B$6*1.2,S37&gt;Parameter!$B$7*1.2,P37&gt;0),"OVER LIMIT",IF(OR(N37&gt;Parameter!$B$5,R37&gt;Parameter!$B$6,S37&gt;Parameter!$B$7),"WARNING","NORMAL"))))</x:f>
      </x:c>
      <x:c r="V37" s="182"/>
      <x:c r="W37" s="188"/>
    </x:row>
    <x:row r="38">
      <x:c r="A38" s="194" t="n">
        <x:f>ROW()-4</x:f>
        <x:v>34</x:v>
      </x:c>
      <x:c r="B38" s="142"/>
      <x:c r="C38" s="143"/>
      <x:c r="D38" s="143"/>
      <x:c r="E38" s="182"/>
      <x:c r="F38" s="182"/>
      <x:c r="G38" s="182"/>
      <x:c r="H38" s="144"/>
      <x:c r="I38" s="144"/>
      <x:c r="J38" s="200" t="str">
        <x:f>IF(OR(H38="",I38=""),"",MAX(0,I38-H38))</x:f>
      </x:c>
      <x:c r="K38" s="145"/>
      <x:c r="L38" s="145"/>
      <x:c r="M38" s="145"/>
      <x:c r="N38" s="145"/>
      <x:c r="O38" s="145"/>
      <x:c r="P38" s="209" t="str">
        <x:f>IF(OR(N38="",O38=""),"",MAX(0,N38-O38))</x:f>
      </x:c>
      <x:c r="Q38" s="209" t="str">
        <x:f>IF(L38="","",L38+IF(M38="",0,M38)-IF(N38="",0,N38))</x:f>
      </x:c>
      <x:c r="R38" s="210" t="str">
        <x:f>IF(OR(J38="",J38=0,N38=""),"",N38/J38)</x:f>
      </x:c>
      <x:c r="S38" s="210" t="str">
        <x:f>IF(OR(K38="",K38=0,N38=""),"",N38/K38*1000)</x:f>
      </x:c>
      <x:c r="T38" s="211" t="str">
        <x:f>IF(N38="","",N38*Parameter!$B$4)</x:f>
      </x:c>
      <x:c r="U38" s="212" t="str">
        <x:f>IF(B38="","",IF(OR(J38="",K38=""),"DATA TIDAK LENGKAP",IF(OR(N38&gt;Parameter!$B$5*1.2,R38&gt;Parameter!$B$6*1.2,S38&gt;Parameter!$B$7*1.2,P38&gt;0),"OVER LIMIT",IF(OR(N38&gt;Parameter!$B$5,R38&gt;Parameter!$B$6,S38&gt;Parameter!$B$7),"WARNING","NORMAL"))))</x:f>
      </x:c>
      <x:c r="V38" s="182"/>
      <x:c r="W38" s="188"/>
    </x:row>
    <x:row r="39">
      <x:c r="A39" s="194" t="n">
        <x:f>ROW()-4</x:f>
        <x:v>35</x:v>
      </x:c>
      <x:c r="B39" s="142"/>
      <x:c r="C39" s="143"/>
      <x:c r="D39" s="143"/>
      <x:c r="E39" s="182"/>
      <x:c r="F39" s="182"/>
      <x:c r="G39" s="182"/>
      <x:c r="H39" s="144"/>
      <x:c r="I39" s="144"/>
      <x:c r="J39" s="200" t="str">
        <x:f>IF(OR(H39="",I39=""),"",MAX(0,I39-H39))</x:f>
      </x:c>
      <x:c r="K39" s="145"/>
      <x:c r="L39" s="145"/>
      <x:c r="M39" s="145"/>
      <x:c r="N39" s="145"/>
      <x:c r="O39" s="145"/>
      <x:c r="P39" s="209" t="str">
        <x:f>IF(OR(N39="",O39=""),"",MAX(0,N39-O39))</x:f>
      </x:c>
      <x:c r="Q39" s="209" t="str">
        <x:f>IF(L39="","",L39+IF(M39="",0,M39)-IF(N39="",0,N39))</x:f>
      </x:c>
      <x:c r="R39" s="210" t="str">
        <x:f>IF(OR(J39="",J39=0,N39=""),"",N39/J39)</x:f>
      </x:c>
      <x:c r="S39" s="210" t="str">
        <x:f>IF(OR(K39="",K39=0,N39=""),"",N39/K39*1000)</x:f>
      </x:c>
      <x:c r="T39" s="211" t="str">
        <x:f>IF(N39="","",N39*Parameter!$B$4)</x:f>
      </x:c>
      <x:c r="U39" s="212" t="str">
        <x:f>IF(B39="","",IF(OR(J39="",K39=""),"DATA TIDAK LENGKAP",IF(OR(N39&gt;Parameter!$B$5*1.2,R39&gt;Parameter!$B$6*1.2,S39&gt;Parameter!$B$7*1.2,P39&gt;0),"OVER LIMIT",IF(OR(N39&gt;Parameter!$B$5,R39&gt;Parameter!$B$6,S39&gt;Parameter!$B$7),"WARNING","NORMAL"))))</x:f>
      </x:c>
      <x:c r="V39" s="182"/>
      <x:c r="W39" s="188"/>
    </x:row>
    <x:row r="40">
      <x:c r="A40" s="194" t="n">
        <x:f>ROW()-4</x:f>
        <x:v>36</x:v>
      </x:c>
      <x:c r="B40" s="142"/>
      <x:c r="C40" s="143"/>
      <x:c r="D40" s="143"/>
      <x:c r="E40" s="182"/>
      <x:c r="F40" s="182"/>
      <x:c r="G40" s="182"/>
      <x:c r="H40" s="144"/>
      <x:c r="I40" s="144"/>
      <x:c r="J40" s="200" t="str">
        <x:f>IF(OR(H40="",I40=""),"",MAX(0,I40-H40))</x:f>
      </x:c>
      <x:c r="K40" s="145"/>
      <x:c r="L40" s="145"/>
      <x:c r="M40" s="145"/>
      <x:c r="N40" s="145"/>
      <x:c r="O40" s="145"/>
      <x:c r="P40" s="209" t="str">
        <x:f>IF(OR(N40="",O40=""),"",MAX(0,N40-O40))</x:f>
      </x:c>
      <x:c r="Q40" s="209" t="str">
        <x:f>IF(L40="","",L40+IF(M40="",0,M40)-IF(N40="",0,N40))</x:f>
      </x:c>
      <x:c r="R40" s="210" t="str">
        <x:f>IF(OR(J40="",J40=0,N40=""),"",N40/J40)</x:f>
      </x:c>
      <x:c r="S40" s="210" t="str">
        <x:f>IF(OR(K40="",K40=0,N40=""),"",N40/K40*1000)</x:f>
      </x:c>
      <x:c r="T40" s="211" t="str">
        <x:f>IF(N40="","",N40*Parameter!$B$4)</x:f>
      </x:c>
      <x:c r="U40" s="212" t="str">
        <x:f>IF(B40="","",IF(OR(J40="",K40=""),"DATA TIDAK LENGKAP",IF(OR(N40&gt;Parameter!$B$5*1.2,R40&gt;Parameter!$B$6*1.2,S40&gt;Parameter!$B$7*1.2,P40&gt;0),"OVER LIMIT",IF(OR(N40&gt;Parameter!$B$5,R40&gt;Parameter!$B$6,S40&gt;Parameter!$B$7),"WARNING","NORMAL"))))</x:f>
      </x:c>
      <x:c r="V40" s="182"/>
      <x:c r="W40" s="188"/>
    </x:row>
    <x:row r="41">
      <x:c r="A41" s="194" t="n">
        <x:f>ROW()-4</x:f>
        <x:v>37</x:v>
      </x:c>
      <x:c r="B41" s="142"/>
      <x:c r="C41" s="143"/>
      <x:c r="D41" s="143"/>
      <x:c r="E41" s="182"/>
      <x:c r="F41" s="182"/>
      <x:c r="G41" s="182"/>
      <x:c r="H41" s="144"/>
      <x:c r="I41" s="144"/>
      <x:c r="J41" s="200" t="str">
        <x:f>IF(OR(H41="",I41=""),"",MAX(0,I41-H41))</x:f>
      </x:c>
      <x:c r="K41" s="145"/>
      <x:c r="L41" s="145"/>
      <x:c r="M41" s="145"/>
      <x:c r="N41" s="145"/>
      <x:c r="O41" s="145"/>
      <x:c r="P41" s="209" t="str">
        <x:f>IF(OR(N41="",O41=""),"",MAX(0,N41-O41))</x:f>
      </x:c>
      <x:c r="Q41" s="209" t="str">
        <x:f>IF(L41="","",L41+IF(M41="",0,M41)-IF(N41="",0,N41))</x:f>
      </x:c>
      <x:c r="R41" s="210" t="str">
        <x:f>IF(OR(J41="",J41=0,N41=""),"",N41/J41)</x:f>
      </x:c>
      <x:c r="S41" s="210" t="str">
        <x:f>IF(OR(K41="",K41=0,N41=""),"",N41/K41*1000)</x:f>
      </x:c>
      <x:c r="T41" s="211" t="str">
        <x:f>IF(N41="","",N41*Parameter!$B$4)</x:f>
      </x:c>
      <x:c r="U41" s="212" t="str">
        <x:f>IF(B41="","",IF(OR(J41="",K41=""),"DATA TIDAK LENGKAP",IF(OR(N41&gt;Parameter!$B$5*1.2,R41&gt;Parameter!$B$6*1.2,S41&gt;Parameter!$B$7*1.2,P41&gt;0),"OVER LIMIT",IF(OR(N41&gt;Parameter!$B$5,R41&gt;Parameter!$B$6,S41&gt;Parameter!$B$7),"WARNING","NORMAL"))))</x:f>
      </x:c>
      <x:c r="V41" s="182"/>
      <x:c r="W41" s="188"/>
    </x:row>
    <x:row r="42">
      <x:c r="A42" s="194" t="n">
        <x:f>ROW()-4</x:f>
        <x:v>38</x:v>
      </x:c>
      <x:c r="B42" s="142"/>
      <x:c r="C42" s="143"/>
      <x:c r="D42" s="143"/>
      <x:c r="E42" s="182"/>
      <x:c r="F42" s="182"/>
      <x:c r="G42" s="182"/>
      <x:c r="H42" s="144"/>
      <x:c r="I42" s="144"/>
      <x:c r="J42" s="200" t="str">
        <x:f>IF(OR(H42="",I42=""),"",MAX(0,I42-H42))</x:f>
      </x:c>
      <x:c r="K42" s="145"/>
      <x:c r="L42" s="145"/>
      <x:c r="M42" s="145"/>
      <x:c r="N42" s="145"/>
      <x:c r="O42" s="145"/>
      <x:c r="P42" s="209" t="str">
        <x:f>IF(OR(N42="",O42=""),"",MAX(0,N42-O42))</x:f>
      </x:c>
      <x:c r="Q42" s="209" t="str">
        <x:f>IF(L42="","",L42+IF(M42="",0,M42)-IF(N42="",0,N42))</x:f>
      </x:c>
      <x:c r="R42" s="210" t="str">
        <x:f>IF(OR(J42="",J42=0,N42=""),"",N42/J42)</x:f>
      </x:c>
      <x:c r="S42" s="210" t="str">
        <x:f>IF(OR(K42="",K42=0,N42=""),"",N42/K42*1000)</x:f>
      </x:c>
      <x:c r="T42" s="211" t="str">
        <x:f>IF(N42="","",N42*Parameter!$B$4)</x:f>
      </x:c>
      <x:c r="U42" s="212" t="str">
        <x:f>IF(B42="","",IF(OR(J42="",K42=""),"DATA TIDAK LENGKAP",IF(OR(N42&gt;Parameter!$B$5*1.2,R42&gt;Parameter!$B$6*1.2,S42&gt;Parameter!$B$7*1.2,P42&gt;0),"OVER LIMIT",IF(OR(N42&gt;Parameter!$B$5,R42&gt;Parameter!$B$6,S42&gt;Parameter!$B$7),"WARNING","NORMAL"))))</x:f>
      </x:c>
      <x:c r="V42" s="182"/>
      <x:c r="W42" s="188"/>
    </x:row>
    <x:row r="43">
      <x:c r="A43" s="194" t="n">
        <x:f>ROW()-4</x:f>
        <x:v>39</x:v>
      </x:c>
      <x:c r="B43" s="142"/>
      <x:c r="C43" s="143"/>
      <x:c r="D43" s="143"/>
      <x:c r="E43" s="182"/>
      <x:c r="F43" s="182"/>
      <x:c r="G43" s="182"/>
      <x:c r="H43" s="144"/>
      <x:c r="I43" s="144"/>
      <x:c r="J43" s="200" t="str">
        <x:f>IF(OR(H43="",I43=""),"",MAX(0,I43-H43))</x:f>
      </x:c>
      <x:c r="K43" s="145"/>
      <x:c r="L43" s="145"/>
      <x:c r="M43" s="145"/>
      <x:c r="N43" s="145"/>
      <x:c r="O43" s="145"/>
      <x:c r="P43" s="209" t="str">
        <x:f>IF(OR(N43="",O43=""),"",MAX(0,N43-O43))</x:f>
      </x:c>
      <x:c r="Q43" s="209" t="str">
        <x:f>IF(L43="","",L43+IF(M43="",0,M43)-IF(N43="",0,N43))</x:f>
      </x:c>
      <x:c r="R43" s="210" t="str">
        <x:f>IF(OR(J43="",J43=0,N43=""),"",N43/J43)</x:f>
      </x:c>
      <x:c r="S43" s="210" t="str">
        <x:f>IF(OR(K43="",K43=0,N43=""),"",N43/K43*1000)</x:f>
      </x:c>
      <x:c r="T43" s="211" t="str">
        <x:f>IF(N43="","",N43*Parameter!$B$4)</x:f>
      </x:c>
      <x:c r="U43" s="212" t="str">
        <x:f>IF(B43="","",IF(OR(J43="",K43=""),"DATA TIDAK LENGKAP",IF(OR(N43&gt;Parameter!$B$5*1.2,R43&gt;Parameter!$B$6*1.2,S43&gt;Parameter!$B$7*1.2,P43&gt;0),"OVER LIMIT",IF(OR(N43&gt;Parameter!$B$5,R43&gt;Parameter!$B$6,S43&gt;Parameter!$B$7),"WARNING","NORMAL"))))</x:f>
      </x:c>
      <x:c r="V43" s="182"/>
      <x:c r="W43" s="188"/>
    </x:row>
    <x:row r="44">
      <x:c r="A44" s="194" t="n">
        <x:f>ROW()-4</x:f>
        <x:v>40</x:v>
      </x:c>
      <x:c r="B44" s="142"/>
      <x:c r="C44" s="143"/>
      <x:c r="D44" s="143"/>
      <x:c r="E44" s="182"/>
      <x:c r="F44" s="182"/>
      <x:c r="G44" s="182"/>
      <x:c r="H44" s="144"/>
      <x:c r="I44" s="144"/>
      <x:c r="J44" s="200" t="str">
        <x:f>IF(OR(H44="",I44=""),"",MAX(0,I44-H44))</x:f>
      </x:c>
      <x:c r="K44" s="145"/>
      <x:c r="L44" s="145"/>
      <x:c r="M44" s="145"/>
      <x:c r="N44" s="145"/>
      <x:c r="O44" s="145"/>
      <x:c r="P44" s="209" t="str">
        <x:f>IF(OR(N44="",O44=""),"",MAX(0,N44-O44))</x:f>
      </x:c>
      <x:c r="Q44" s="209" t="str">
        <x:f>IF(L44="","",L44+IF(M44="",0,M44)-IF(N44="",0,N44))</x:f>
      </x:c>
      <x:c r="R44" s="210" t="str">
        <x:f>IF(OR(J44="",J44=0,N44=""),"",N44/J44)</x:f>
      </x:c>
      <x:c r="S44" s="210" t="str">
        <x:f>IF(OR(K44="",K44=0,N44=""),"",N44/K44*1000)</x:f>
      </x:c>
      <x:c r="T44" s="211" t="str">
        <x:f>IF(N44="","",N44*Parameter!$B$4)</x:f>
      </x:c>
      <x:c r="U44" s="212" t="str">
        <x:f>IF(B44="","",IF(OR(J44="",K44=""),"DATA TIDAK LENGKAP",IF(OR(N44&gt;Parameter!$B$5*1.2,R44&gt;Parameter!$B$6*1.2,S44&gt;Parameter!$B$7*1.2,P44&gt;0),"OVER LIMIT",IF(OR(N44&gt;Parameter!$B$5,R44&gt;Parameter!$B$6,S44&gt;Parameter!$B$7),"WARNING","NORMAL"))))</x:f>
      </x:c>
      <x:c r="V44" s="182"/>
      <x:c r="W44" s="188"/>
    </x:row>
    <x:row r="45">
      <x:c r="A45" s="194" t="n">
        <x:f>ROW()-4</x:f>
        <x:v>41</x:v>
      </x:c>
      <x:c r="B45" s="142"/>
      <x:c r="C45" s="143"/>
      <x:c r="D45" s="143"/>
      <x:c r="E45" s="182"/>
      <x:c r="F45" s="182"/>
      <x:c r="G45" s="182"/>
      <x:c r="H45" s="144"/>
      <x:c r="I45" s="144"/>
      <x:c r="J45" s="200" t="str">
        <x:f>IF(OR(H45="",I45=""),"",MAX(0,I45-H45))</x:f>
      </x:c>
      <x:c r="K45" s="145"/>
      <x:c r="L45" s="145"/>
      <x:c r="M45" s="145"/>
      <x:c r="N45" s="145"/>
      <x:c r="O45" s="145"/>
      <x:c r="P45" s="209" t="str">
        <x:f>IF(OR(N45="",O45=""),"",MAX(0,N45-O45))</x:f>
      </x:c>
      <x:c r="Q45" s="209" t="str">
        <x:f>IF(L45="","",L45+IF(M45="",0,M45)-IF(N45="",0,N45))</x:f>
      </x:c>
      <x:c r="R45" s="210" t="str">
        <x:f>IF(OR(J45="",J45=0,N45=""),"",N45/J45)</x:f>
      </x:c>
      <x:c r="S45" s="210" t="str">
        <x:f>IF(OR(K45="",K45=0,N45=""),"",N45/K45*1000)</x:f>
      </x:c>
      <x:c r="T45" s="211" t="str">
        <x:f>IF(N45="","",N45*Parameter!$B$4)</x:f>
      </x:c>
      <x:c r="U45" s="212" t="str">
        <x:f>IF(B45="","",IF(OR(J45="",K45=""),"DATA TIDAK LENGKAP",IF(OR(N45&gt;Parameter!$B$5*1.2,R45&gt;Parameter!$B$6*1.2,S45&gt;Parameter!$B$7*1.2,P45&gt;0),"OVER LIMIT",IF(OR(N45&gt;Parameter!$B$5,R45&gt;Parameter!$B$6,S45&gt;Parameter!$B$7),"WARNING","NORMAL"))))</x:f>
      </x:c>
      <x:c r="V45" s="182"/>
      <x:c r="W45" s="188"/>
    </x:row>
    <x:row r="46">
      <x:c r="A46" s="194" t="n">
        <x:f>ROW()-4</x:f>
        <x:v>42</x:v>
      </x:c>
      <x:c r="B46" s="142"/>
      <x:c r="C46" s="143"/>
      <x:c r="D46" s="143"/>
      <x:c r="E46" s="182"/>
      <x:c r="F46" s="182"/>
      <x:c r="G46" s="182"/>
      <x:c r="H46" s="144"/>
      <x:c r="I46" s="144"/>
      <x:c r="J46" s="200" t="str">
        <x:f>IF(OR(H46="",I46=""),"",MAX(0,I46-H46))</x:f>
      </x:c>
      <x:c r="K46" s="145"/>
      <x:c r="L46" s="145"/>
      <x:c r="M46" s="145"/>
      <x:c r="N46" s="145"/>
      <x:c r="O46" s="145"/>
      <x:c r="P46" s="209" t="str">
        <x:f>IF(OR(N46="",O46=""),"",MAX(0,N46-O46))</x:f>
      </x:c>
      <x:c r="Q46" s="209" t="str">
        <x:f>IF(L46="","",L46+IF(M46="",0,M46)-IF(N46="",0,N46))</x:f>
      </x:c>
      <x:c r="R46" s="210" t="str">
        <x:f>IF(OR(J46="",J46=0,N46=""),"",N46/J46)</x:f>
      </x:c>
      <x:c r="S46" s="210" t="str">
        <x:f>IF(OR(K46="",K46=0,N46=""),"",N46/K46*1000)</x:f>
      </x:c>
      <x:c r="T46" s="211" t="str">
        <x:f>IF(N46="","",N46*Parameter!$B$4)</x:f>
      </x:c>
      <x:c r="U46" s="212" t="str">
        <x:f>IF(B46="","",IF(OR(J46="",K46=""),"DATA TIDAK LENGKAP",IF(OR(N46&gt;Parameter!$B$5*1.2,R46&gt;Parameter!$B$6*1.2,S46&gt;Parameter!$B$7*1.2,P46&gt;0),"OVER LIMIT",IF(OR(N46&gt;Parameter!$B$5,R46&gt;Parameter!$B$6,S46&gt;Parameter!$B$7),"WARNING","NORMAL"))))</x:f>
      </x:c>
      <x:c r="V46" s="182"/>
      <x:c r="W46" s="188"/>
    </x:row>
    <x:row r="47">
      <x:c r="A47" s="194" t="n">
        <x:f>ROW()-4</x:f>
        <x:v>43</x:v>
      </x:c>
      <x:c r="B47" s="142"/>
      <x:c r="C47" s="143"/>
      <x:c r="D47" s="143"/>
      <x:c r="E47" s="182"/>
      <x:c r="F47" s="182"/>
      <x:c r="G47" s="182"/>
      <x:c r="H47" s="144"/>
      <x:c r="I47" s="144"/>
      <x:c r="J47" s="200" t="str">
        <x:f>IF(OR(H47="",I47=""),"",MAX(0,I47-H47))</x:f>
      </x:c>
      <x:c r="K47" s="145"/>
      <x:c r="L47" s="145"/>
      <x:c r="M47" s="145"/>
      <x:c r="N47" s="145"/>
      <x:c r="O47" s="145"/>
      <x:c r="P47" s="209" t="str">
        <x:f>IF(OR(N47="",O47=""),"",MAX(0,N47-O47))</x:f>
      </x:c>
      <x:c r="Q47" s="209" t="str">
        <x:f>IF(L47="","",L47+IF(M47="",0,M47)-IF(N47="",0,N47))</x:f>
      </x:c>
      <x:c r="R47" s="210" t="str">
        <x:f>IF(OR(J47="",J47=0,N47=""),"",N47/J47)</x:f>
      </x:c>
      <x:c r="S47" s="210" t="str">
        <x:f>IF(OR(K47="",K47=0,N47=""),"",N47/K47*1000)</x:f>
      </x:c>
      <x:c r="T47" s="211" t="str">
        <x:f>IF(N47="","",N47*Parameter!$B$4)</x:f>
      </x:c>
      <x:c r="U47" s="212" t="str">
        <x:f>IF(B47="","",IF(OR(J47="",K47=""),"DATA TIDAK LENGKAP",IF(OR(N47&gt;Parameter!$B$5*1.2,R47&gt;Parameter!$B$6*1.2,S47&gt;Parameter!$B$7*1.2,P47&gt;0),"OVER LIMIT",IF(OR(N47&gt;Parameter!$B$5,R47&gt;Parameter!$B$6,S47&gt;Parameter!$B$7),"WARNING","NORMAL"))))</x:f>
      </x:c>
      <x:c r="V47" s="182"/>
      <x:c r="W47" s="188"/>
    </x:row>
    <x:row r="48">
      <x:c r="A48" s="194" t="n">
        <x:f>ROW()-4</x:f>
        <x:v>44</x:v>
      </x:c>
      <x:c r="B48" s="142"/>
      <x:c r="C48" s="143"/>
      <x:c r="D48" s="143"/>
      <x:c r="E48" s="182"/>
      <x:c r="F48" s="182"/>
      <x:c r="G48" s="182"/>
      <x:c r="H48" s="144"/>
      <x:c r="I48" s="144"/>
      <x:c r="J48" s="200" t="str">
        <x:f>IF(OR(H48="",I48=""),"",MAX(0,I48-H48))</x:f>
      </x:c>
      <x:c r="K48" s="145"/>
      <x:c r="L48" s="145"/>
      <x:c r="M48" s="145"/>
      <x:c r="N48" s="145"/>
      <x:c r="O48" s="145"/>
      <x:c r="P48" s="209" t="str">
        <x:f>IF(OR(N48="",O48=""),"",MAX(0,N48-O48))</x:f>
      </x:c>
      <x:c r="Q48" s="209" t="str">
        <x:f>IF(L48="","",L48+IF(M48="",0,M48)-IF(N48="",0,N48))</x:f>
      </x:c>
      <x:c r="R48" s="210" t="str">
        <x:f>IF(OR(J48="",J48=0,N48=""),"",N48/J48)</x:f>
      </x:c>
      <x:c r="S48" s="210" t="str">
        <x:f>IF(OR(K48="",K48=0,N48=""),"",N48/K48*1000)</x:f>
      </x:c>
      <x:c r="T48" s="211" t="str">
        <x:f>IF(N48="","",N48*Parameter!$B$4)</x:f>
      </x:c>
      <x:c r="U48" s="212" t="str">
        <x:f>IF(B48="","",IF(OR(J48="",K48=""),"DATA TIDAK LENGKAP",IF(OR(N48&gt;Parameter!$B$5*1.2,R48&gt;Parameter!$B$6*1.2,S48&gt;Parameter!$B$7*1.2,P48&gt;0),"OVER LIMIT",IF(OR(N48&gt;Parameter!$B$5,R48&gt;Parameter!$B$6,S48&gt;Parameter!$B$7),"WARNING","NORMAL"))))</x:f>
      </x:c>
      <x:c r="V48" s="182"/>
      <x:c r="W48" s="188"/>
    </x:row>
    <x:row r="49">
      <x:c r="A49" s="194" t="n">
        <x:f>ROW()-4</x:f>
        <x:v>45</x:v>
      </x:c>
      <x:c r="B49" s="142"/>
      <x:c r="C49" s="143"/>
      <x:c r="D49" s="143"/>
      <x:c r="E49" s="182"/>
      <x:c r="F49" s="182"/>
      <x:c r="G49" s="182"/>
      <x:c r="H49" s="144"/>
      <x:c r="I49" s="144"/>
      <x:c r="J49" s="200" t="str">
        <x:f>IF(OR(H49="",I49=""),"",MAX(0,I49-H49))</x:f>
      </x:c>
      <x:c r="K49" s="145"/>
      <x:c r="L49" s="145"/>
      <x:c r="M49" s="145"/>
      <x:c r="N49" s="145"/>
      <x:c r="O49" s="145"/>
      <x:c r="P49" s="209" t="str">
        <x:f>IF(OR(N49="",O49=""),"",MAX(0,N49-O49))</x:f>
      </x:c>
      <x:c r="Q49" s="209" t="str">
        <x:f>IF(L49="","",L49+IF(M49="",0,M49)-IF(N49="",0,N49))</x:f>
      </x:c>
      <x:c r="R49" s="210" t="str">
        <x:f>IF(OR(J49="",J49=0,N49=""),"",N49/J49)</x:f>
      </x:c>
      <x:c r="S49" s="210" t="str">
        <x:f>IF(OR(K49="",K49=0,N49=""),"",N49/K49*1000)</x:f>
      </x:c>
      <x:c r="T49" s="211" t="str">
        <x:f>IF(N49="","",N49*Parameter!$B$4)</x:f>
      </x:c>
      <x:c r="U49" s="212" t="str">
        <x:f>IF(B49="","",IF(OR(J49="",K49=""),"DATA TIDAK LENGKAP",IF(OR(N49&gt;Parameter!$B$5*1.2,R49&gt;Parameter!$B$6*1.2,S49&gt;Parameter!$B$7*1.2,P49&gt;0),"OVER LIMIT",IF(OR(N49&gt;Parameter!$B$5,R49&gt;Parameter!$B$6,S49&gt;Parameter!$B$7),"WARNING","NORMAL"))))</x:f>
      </x:c>
      <x:c r="V49" s="182"/>
      <x:c r="W49" s="188"/>
    </x:row>
    <x:row r="50">
      <x:c r="A50" s="194" t="n">
        <x:f>ROW()-4</x:f>
        <x:v>46</x:v>
      </x:c>
      <x:c r="B50" s="142"/>
      <x:c r="C50" s="143"/>
      <x:c r="D50" s="143"/>
      <x:c r="E50" s="182"/>
      <x:c r="F50" s="182"/>
      <x:c r="G50" s="182"/>
      <x:c r="H50" s="144"/>
      <x:c r="I50" s="144"/>
      <x:c r="J50" s="200" t="str">
        <x:f>IF(OR(H50="",I50=""),"",MAX(0,I50-H50))</x:f>
      </x:c>
      <x:c r="K50" s="145"/>
      <x:c r="L50" s="145"/>
      <x:c r="M50" s="145"/>
      <x:c r="N50" s="145"/>
      <x:c r="O50" s="145"/>
      <x:c r="P50" s="209" t="str">
        <x:f>IF(OR(N50="",O50=""),"",MAX(0,N50-O50))</x:f>
      </x:c>
      <x:c r="Q50" s="209" t="str">
        <x:f>IF(L50="","",L50+IF(M50="",0,M50)-IF(N50="",0,N50))</x:f>
      </x:c>
      <x:c r="R50" s="210" t="str">
        <x:f>IF(OR(J50="",J50=0,N50=""),"",N50/J50)</x:f>
      </x:c>
      <x:c r="S50" s="210" t="str">
        <x:f>IF(OR(K50="",K50=0,N50=""),"",N50/K50*1000)</x:f>
      </x:c>
      <x:c r="T50" s="211" t="str">
        <x:f>IF(N50="","",N50*Parameter!$B$4)</x:f>
      </x:c>
      <x:c r="U50" s="212" t="str">
        <x:f>IF(B50="","",IF(OR(J50="",K50=""),"DATA TIDAK LENGKAP",IF(OR(N50&gt;Parameter!$B$5*1.2,R50&gt;Parameter!$B$6*1.2,S50&gt;Parameter!$B$7*1.2,P50&gt;0),"OVER LIMIT",IF(OR(N50&gt;Parameter!$B$5,R50&gt;Parameter!$B$6,S50&gt;Parameter!$B$7),"WARNING","NORMAL"))))</x:f>
      </x:c>
      <x:c r="V50" s="182"/>
      <x:c r="W50" s="188"/>
    </x:row>
    <x:row r="51">
      <x:c r="A51" s="194" t="n">
        <x:f>ROW()-4</x:f>
        <x:v>47</x:v>
      </x:c>
      <x:c r="B51" s="142"/>
      <x:c r="C51" s="143"/>
      <x:c r="D51" s="143"/>
      <x:c r="E51" s="182"/>
      <x:c r="F51" s="182"/>
      <x:c r="G51" s="182"/>
      <x:c r="H51" s="144"/>
      <x:c r="I51" s="144"/>
      <x:c r="J51" s="200" t="str">
        <x:f>IF(OR(H51="",I51=""),"",MAX(0,I51-H51))</x:f>
      </x:c>
      <x:c r="K51" s="145"/>
      <x:c r="L51" s="145"/>
      <x:c r="M51" s="145"/>
      <x:c r="N51" s="145"/>
      <x:c r="O51" s="145"/>
      <x:c r="P51" s="209" t="str">
        <x:f>IF(OR(N51="",O51=""),"",MAX(0,N51-O51))</x:f>
      </x:c>
      <x:c r="Q51" s="209" t="str">
        <x:f>IF(L51="","",L51+IF(M51="",0,M51)-IF(N51="",0,N51))</x:f>
      </x:c>
      <x:c r="R51" s="210" t="str">
        <x:f>IF(OR(J51="",J51=0,N51=""),"",N51/J51)</x:f>
      </x:c>
      <x:c r="S51" s="210" t="str">
        <x:f>IF(OR(K51="",K51=0,N51=""),"",N51/K51*1000)</x:f>
      </x:c>
      <x:c r="T51" s="211" t="str">
        <x:f>IF(N51="","",N51*Parameter!$B$4)</x:f>
      </x:c>
      <x:c r="U51" s="212" t="str">
        <x:f>IF(B51="","",IF(OR(J51="",K51=""),"DATA TIDAK LENGKAP",IF(OR(N51&gt;Parameter!$B$5*1.2,R51&gt;Parameter!$B$6*1.2,S51&gt;Parameter!$B$7*1.2,P51&gt;0),"OVER LIMIT",IF(OR(N51&gt;Parameter!$B$5,R51&gt;Parameter!$B$6,S51&gt;Parameter!$B$7),"WARNING","NORMAL"))))</x:f>
      </x:c>
      <x:c r="V51" s="182"/>
      <x:c r="W51" s="188"/>
    </x:row>
    <x:row r="52">
      <x:c r="A52" s="194" t="n">
        <x:f>ROW()-4</x:f>
        <x:v>48</x:v>
      </x:c>
      <x:c r="B52" s="142"/>
      <x:c r="C52" s="143"/>
      <x:c r="D52" s="143"/>
      <x:c r="E52" s="182"/>
      <x:c r="F52" s="182"/>
      <x:c r="G52" s="182"/>
      <x:c r="H52" s="144"/>
      <x:c r="I52" s="144"/>
      <x:c r="J52" s="200" t="str">
        <x:f>IF(OR(H52="",I52=""),"",MAX(0,I52-H52))</x:f>
      </x:c>
      <x:c r="K52" s="145"/>
      <x:c r="L52" s="145"/>
      <x:c r="M52" s="145"/>
      <x:c r="N52" s="145"/>
      <x:c r="O52" s="145"/>
      <x:c r="P52" s="209" t="str">
        <x:f>IF(OR(N52="",O52=""),"",MAX(0,N52-O52))</x:f>
      </x:c>
      <x:c r="Q52" s="209" t="str">
        <x:f>IF(L52="","",L52+IF(M52="",0,M52)-IF(N52="",0,N52))</x:f>
      </x:c>
      <x:c r="R52" s="210" t="str">
        <x:f>IF(OR(J52="",J52=0,N52=""),"",N52/J52)</x:f>
      </x:c>
      <x:c r="S52" s="210" t="str">
        <x:f>IF(OR(K52="",K52=0,N52=""),"",N52/K52*1000)</x:f>
      </x:c>
      <x:c r="T52" s="211" t="str">
        <x:f>IF(N52="","",N52*Parameter!$B$4)</x:f>
      </x:c>
      <x:c r="U52" s="212" t="str">
        <x:f>IF(B52="","",IF(OR(J52="",K52=""),"DATA TIDAK LENGKAP",IF(OR(N52&gt;Parameter!$B$5*1.2,R52&gt;Parameter!$B$6*1.2,S52&gt;Parameter!$B$7*1.2,P52&gt;0),"OVER LIMIT",IF(OR(N52&gt;Parameter!$B$5,R52&gt;Parameter!$B$6,S52&gt;Parameter!$B$7),"WARNING","NORMAL"))))</x:f>
      </x:c>
      <x:c r="V52" s="182"/>
      <x:c r="W52" s="188"/>
    </x:row>
    <x:row r="53">
      <x:c r="A53" s="194" t="n">
        <x:f>ROW()-4</x:f>
        <x:v>49</x:v>
      </x:c>
      <x:c r="B53" s="142"/>
      <x:c r="C53" s="143"/>
      <x:c r="D53" s="143"/>
      <x:c r="E53" s="182"/>
      <x:c r="F53" s="182"/>
      <x:c r="G53" s="182"/>
      <x:c r="H53" s="144"/>
      <x:c r="I53" s="144"/>
      <x:c r="J53" s="200" t="str">
        <x:f>IF(OR(H53="",I53=""),"",MAX(0,I53-H53))</x:f>
      </x:c>
      <x:c r="K53" s="145"/>
      <x:c r="L53" s="145"/>
      <x:c r="M53" s="145"/>
      <x:c r="N53" s="145"/>
      <x:c r="O53" s="145"/>
      <x:c r="P53" s="209" t="str">
        <x:f>IF(OR(N53="",O53=""),"",MAX(0,N53-O53))</x:f>
      </x:c>
      <x:c r="Q53" s="209" t="str">
        <x:f>IF(L53="","",L53+IF(M53="",0,M53)-IF(N53="",0,N53))</x:f>
      </x:c>
      <x:c r="R53" s="210" t="str">
        <x:f>IF(OR(J53="",J53=0,N53=""),"",N53/J53)</x:f>
      </x:c>
      <x:c r="S53" s="210" t="str">
        <x:f>IF(OR(K53="",K53=0,N53=""),"",N53/K53*1000)</x:f>
      </x:c>
      <x:c r="T53" s="211" t="str">
        <x:f>IF(N53="","",N53*Parameter!$B$4)</x:f>
      </x:c>
      <x:c r="U53" s="212" t="str">
        <x:f>IF(B53="","",IF(OR(J53="",K53=""),"DATA TIDAK LENGKAP",IF(OR(N53&gt;Parameter!$B$5*1.2,R53&gt;Parameter!$B$6*1.2,S53&gt;Parameter!$B$7*1.2,P53&gt;0),"OVER LIMIT",IF(OR(N53&gt;Parameter!$B$5,R53&gt;Parameter!$B$6,S53&gt;Parameter!$B$7),"WARNING","NORMAL"))))</x:f>
      </x:c>
      <x:c r="V53" s="182"/>
      <x:c r="W53" s="188"/>
    </x:row>
    <x:row r="54">
      <x:c r="A54" s="194" t="n">
        <x:f>ROW()-4</x:f>
        <x:v>50</x:v>
      </x:c>
      <x:c r="B54" s="142"/>
      <x:c r="C54" s="143"/>
      <x:c r="D54" s="143"/>
      <x:c r="E54" s="182"/>
      <x:c r="F54" s="182"/>
      <x:c r="G54" s="182"/>
      <x:c r="H54" s="144"/>
      <x:c r="I54" s="144"/>
      <x:c r="J54" s="200" t="str">
        <x:f>IF(OR(H54="",I54=""),"",MAX(0,I54-H54))</x:f>
      </x:c>
      <x:c r="K54" s="145"/>
      <x:c r="L54" s="145"/>
      <x:c r="M54" s="145"/>
      <x:c r="N54" s="145"/>
      <x:c r="O54" s="145"/>
      <x:c r="P54" s="209" t="str">
        <x:f>IF(OR(N54="",O54=""),"",MAX(0,N54-O54))</x:f>
      </x:c>
      <x:c r="Q54" s="209" t="str">
        <x:f>IF(L54="","",L54+IF(M54="",0,M54)-IF(N54="",0,N54))</x:f>
      </x:c>
      <x:c r="R54" s="210" t="str">
        <x:f>IF(OR(J54="",J54=0,N54=""),"",N54/J54)</x:f>
      </x:c>
      <x:c r="S54" s="210" t="str">
        <x:f>IF(OR(K54="",K54=0,N54=""),"",N54/K54*1000)</x:f>
      </x:c>
      <x:c r="T54" s="211" t="str">
        <x:f>IF(N54="","",N54*Parameter!$B$4)</x:f>
      </x:c>
      <x:c r="U54" s="212" t="str">
        <x:f>IF(B54="","",IF(OR(J54="",K54=""),"DATA TIDAK LENGKAP",IF(OR(N54&gt;Parameter!$B$5*1.2,R54&gt;Parameter!$B$6*1.2,S54&gt;Parameter!$B$7*1.2,P54&gt;0),"OVER LIMIT",IF(OR(N54&gt;Parameter!$B$5,R54&gt;Parameter!$B$6,S54&gt;Parameter!$B$7),"WARNING","NORMAL"))))</x:f>
      </x:c>
      <x:c r="V54" s="182"/>
      <x:c r="W54" s="188"/>
    </x:row>
    <x:row r="55">
      <x:c r="A55" s="194" t="n">
        <x:f>ROW()-4</x:f>
        <x:v>51</x:v>
      </x:c>
      <x:c r="B55" s="142"/>
      <x:c r="C55" s="143"/>
      <x:c r="D55" s="143"/>
      <x:c r="E55" s="182"/>
      <x:c r="F55" s="182"/>
      <x:c r="G55" s="182"/>
      <x:c r="H55" s="144"/>
      <x:c r="I55" s="144"/>
      <x:c r="J55" s="200" t="str">
        <x:f>IF(OR(H55="",I55=""),"",MAX(0,I55-H55))</x:f>
      </x:c>
      <x:c r="K55" s="145"/>
      <x:c r="L55" s="145"/>
      <x:c r="M55" s="145"/>
      <x:c r="N55" s="145"/>
      <x:c r="O55" s="145"/>
      <x:c r="P55" s="209" t="str">
        <x:f>IF(OR(N55="",O55=""),"",MAX(0,N55-O55))</x:f>
      </x:c>
      <x:c r="Q55" s="209" t="str">
        <x:f>IF(L55="","",L55+IF(M55="",0,M55)-IF(N55="",0,N55))</x:f>
      </x:c>
      <x:c r="R55" s="210" t="str">
        <x:f>IF(OR(J55="",J55=0,N55=""),"",N55/J55)</x:f>
      </x:c>
      <x:c r="S55" s="210" t="str">
        <x:f>IF(OR(K55="",K55=0,N55=""),"",N55/K55*1000)</x:f>
      </x:c>
      <x:c r="T55" s="211" t="str">
        <x:f>IF(N55="","",N55*Parameter!$B$4)</x:f>
      </x:c>
      <x:c r="U55" s="212" t="str">
        <x:f>IF(B55="","",IF(OR(J55="",K55=""),"DATA TIDAK LENGKAP",IF(OR(N55&gt;Parameter!$B$5*1.2,R55&gt;Parameter!$B$6*1.2,S55&gt;Parameter!$B$7*1.2,P55&gt;0),"OVER LIMIT",IF(OR(N55&gt;Parameter!$B$5,R55&gt;Parameter!$B$6,S55&gt;Parameter!$B$7),"WARNING","NORMAL"))))</x:f>
      </x:c>
      <x:c r="V55" s="182"/>
      <x:c r="W55" s="188"/>
    </x:row>
    <x:row r="56">
      <x:c r="A56" s="194" t="n">
        <x:f>ROW()-4</x:f>
        <x:v>52</x:v>
      </x:c>
      <x:c r="B56" s="142"/>
      <x:c r="C56" s="143"/>
      <x:c r="D56" s="143"/>
      <x:c r="E56" s="182"/>
      <x:c r="F56" s="182"/>
      <x:c r="G56" s="182"/>
      <x:c r="H56" s="144"/>
      <x:c r="I56" s="144"/>
      <x:c r="J56" s="200" t="str">
        <x:f>IF(OR(H56="",I56=""),"",MAX(0,I56-H56))</x:f>
      </x:c>
      <x:c r="K56" s="145"/>
      <x:c r="L56" s="145"/>
      <x:c r="M56" s="145"/>
      <x:c r="N56" s="145"/>
      <x:c r="O56" s="145"/>
      <x:c r="P56" s="209" t="str">
        <x:f>IF(OR(N56="",O56=""),"",MAX(0,N56-O56))</x:f>
      </x:c>
      <x:c r="Q56" s="209" t="str">
        <x:f>IF(L56="","",L56+IF(M56="",0,M56)-IF(N56="",0,N56))</x:f>
      </x:c>
      <x:c r="R56" s="210" t="str">
        <x:f>IF(OR(J56="",J56=0,N56=""),"",N56/J56)</x:f>
      </x:c>
      <x:c r="S56" s="210" t="str">
        <x:f>IF(OR(K56="",K56=0,N56=""),"",N56/K56*1000)</x:f>
      </x:c>
      <x:c r="T56" s="211" t="str">
        <x:f>IF(N56="","",N56*Parameter!$B$4)</x:f>
      </x:c>
      <x:c r="U56" s="212" t="str">
        <x:f>IF(B56="","",IF(OR(J56="",K56=""),"DATA TIDAK LENGKAP",IF(OR(N56&gt;Parameter!$B$5*1.2,R56&gt;Parameter!$B$6*1.2,S56&gt;Parameter!$B$7*1.2,P56&gt;0),"OVER LIMIT",IF(OR(N56&gt;Parameter!$B$5,R56&gt;Parameter!$B$6,S56&gt;Parameter!$B$7),"WARNING","NORMAL"))))</x:f>
      </x:c>
      <x:c r="V56" s="182"/>
      <x:c r="W56" s="188"/>
    </x:row>
    <x:row r="57">
      <x:c r="A57" s="194" t="n">
        <x:f>ROW()-4</x:f>
        <x:v>53</x:v>
      </x:c>
      <x:c r="B57" s="142"/>
      <x:c r="C57" s="143"/>
      <x:c r="D57" s="143"/>
      <x:c r="E57" s="182"/>
      <x:c r="F57" s="182"/>
      <x:c r="G57" s="182"/>
      <x:c r="H57" s="144"/>
      <x:c r="I57" s="144"/>
      <x:c r="J57" s="200" t="str">
        <x:f>IF(OR(H57="",I57=""),"",MAX(0,I57-H57))</x:f>
      </x:c>
      <x:c r="K57" s="145"/>
      <x:c r="L57" s="145"/>
      <x:c r="M57" s="145"/>
      <x:c r="N57" s="145"/>
      <x:c r="O57" s="145"/>
      <x:c r="P57" s="209" t="str">
        <x:f>IF(OR(N57="",O57=""),"",MAX(0,N57-O57))</x:f>
      </x:c>
      <x:c r="Q57" s="209" t="str">
        <x:f>IF(L57="","",L57+IF(M57="",0,M57)-IF(N57="",0,N57))</x:f>
      </x:c>
      <x:c r="R57" s="210" t="str">
        <x:f>IF(OR(J57="",J57=0,N57=""),"",N57/J57)</x:f>
      </x:c>
      <x:c r="S57" s="210" t="str">
        <x:f>IF(OR(K57="",K57=0,N57=""),"",N57/K57*1000)</x:f>
      </x:c>
      <x:c r="T57" s="211" t="str">
        <x:f>IF(N57="","",N57*Parameter!$B$4)</x:f>
      </x:c>
      <x:c r="U57" s="212" t="str">
        <x:f>IF(B57="","",IF(OR(J57="",K57=""),"DATA TIDAK LENGKAP",IF(OR(N57&gt;Parameter!$B$5*1.2,R57&gt;Parameter!$B$6*1.2,S57&gt;Parameter!$B$7*1.2,P57&gt;0),"OVER LIMIT",IF(OR(N57&gt;Parameter!$B$5,R57&gt;Parameter!$B$6,S57&gt;Parameter!$B$7),"WARNING","NORMAL"))))</x:f>
      </x:c>
      <x:c r="V57" s="182"/>
      <x:c r="W57" s="188"/>
    </x:row>
    <x:row r="58">
      <x:c r="A58" s="194" t="n">
        <x:f>ROW()-4</x:f>
        <x:v>54</x:v>
      </x:c>
      <x:c r="B58" s="142"/>
      <x:c r="C58" s="143"/>
      <x:c r="D58" s="143"/>
      <x:c r="E58" s="182"/>
      <x:c r="F58" s="182"/>
      <x:c r="G58" s="182"/>
      <x:c r="H58" s="144"/>
      <x:c r="I58" s="144"/>
      <x:c r="J58" s="200" t="str">
        <x:f>IF(OR(H58="",I58=""),"",MAX(0,I58-H58))</x:f>
      </x:c>
      <x:c r="K58" s="145"/>
      <x:c r="L58" s="145"/>
      <x:c r="M58" s="145"/>
      <x:c r="N58" s="145"/>
      <x:c r="O58" s="145"/>
      <x:c r="P58" s="209" t="str">
        <x:f>IF(OR(N58="",O58=""),"",MAX(0,N58-O58))</x:f>
      </x:c>
      <x:c r="Q58" s="209" t="str">
        <x:f>IF(L58="","",L58+IF(M58="",0,M58)-IF(N58="",0,N58))</x:f>
      </x:c>
      <x:c r="R58" s="210" t="str">
        <x:f>IF(OR(J58="",J58=0,N58=""),"",N58/J58)</x:f>
      </x:c>
      <x:c r="S58" s="210" t="str">
        <x:f>IF(OR(K58="",K58=0,N58=""),"",N58/K58*1000)</x:f>
      </x:c>
      <x:c r="T58" s="211" t="str">
        <x:f>IF(N58="","",N58*Parameter!$B$4)</x:f>
      </x:c>
      <x:c r="U58" s="212" t="str">
        <x:f>IF(B58="","",IF(OR(J58="",K58=""),"DATA TIDAK LENGKAP",IF(OR(N58&gt;Parameter!$B$5*1.2,R58&gt;Parameter!$B$6*1.2,S58&gt;Parameter!$B$7*1.2,P58&gt;0),"OVER LIMIT",IF(OR(N58&gt;Parameter!$B$5,R58&gt;Parameter!$B$6,S58&gt;Parameter!$B$7),"WARNING","NORMAL"))))</x:f>
      </x:c>
      <x:c r="V58" s="182"/>
      <x:c r="W58" s="188"/>
    </x:row>
    <x:row r="59">
      <x:c r="A59" s="194" t="n">
        <x:f>ROW()-4</x:f>
        <x:v>55</x:v>
      </x:c>
      <x:c r="B59" s="142"/>
      <x:c r="C59" s="143"/>
      <x:c r="D59" s="143"/>
      <x:c r="E59" s="182"/>
      <x:c r="F59" s="182"/>
      <x:c r="G59" s="182"/>
      <x:c r="H59" s="144"/>
      <x:c r="I59" s="144"/>
      <x:c r="J59" s="200" t="str">
        <x:f>IF(OR(H59="",I59=""),"",MAX(0,I59-H59))</x:f>
      </x:c>
      <x:c r="K59" s="145"/>
      <x:c r="L59" s="145"/>
      <x:c r="M59" s="145"/>
      <x:c r="N59" s="145"/>
      <x:c r="O59" s="145"/>
      <x:c r="P59" s="209" t="str">
        <x:f>IF(OR(N59="",O59=""),"",MAX(0,N59-O59))</x:f>
      </x:c>
      <x:c r="Q59" s="209" t="str">
        <x:f>IF(L59="","",L59+IF(M59="",0,M59)-IF(N59="",0,N59))</x:f>
      </x:c>
      <x:c r="R59" s="210" t="str">
        <x:f>IF(OR(J59="",J59=0,N59=""),"",N59/J59)</x:f>
      </x:c>
      <x:c r="S59" s="210" t="str">
        <x:f>IF(OR(K59="",K59=0,N59=""),"",N59/K59*1000)</x:f>
      </x:c>
      <x:c r="T59" s="211" t="str">
        <x:f>IF(N59="","",N59*Parameter!$B$4)</x:f>
      </x:c>
      <x:c r="U59" s="212" t="str">
        <x:f>IF(B59="","",IF(OR(J59="",K59=""),"DATA TIDAK LENGKAP",IF(OR(N59&gt;Parameter!$B$5*1.2,R59&gt;Parameter!$B$6*1.2,S59&gt;Parameter!$B$7*1.2,P59&gt;0),"OVER LIMIT",IF(OR(N59&gt;Parameter!$B$5,R59&gt;Parameter!$B$6,S59&gt;Parameter!$B$7),"WARNING","NORMAL"))))</x:f>
      </x:c>
      <x:c r="V59" s="182"/>
      <x:c r="W59" s="188"/>
    </x:row>
    <x:row r="60">
      <x:c r="A60" s="194" t="n">
        <x:f>ROW()-4</x:f>
        <x:v>56</x:v>
      </x:c>
      <x:c r="B60" s="142"/>
      <x:c r="C60" s="143"/>
      <x:c r="D60" s="143"/>
      <x:c r="E60" s="182"/>
      <x:c r="F60" s="182"/>
      <x:c r="G60" s="182"/>
      <x:c r="H60" s="144"/>
      <x:c r="I60" s="144"/>
      <x:c r="J60" s="200" t="str">
        <x:f>IF(OR(H60="",I60=""),"",MAX(0,I60-H60))</x:f>
      </x:c>
      <x:c r="K60" s="145"/>
      <x:c r="L60" s="145"/>
      <x:c r="M60" s="145"/>
      <x:c r="N60" s="145"/>
      <x:c r="O60" s="145"/>
      <x:c r="P60" s="209" t="str">
        <x:f>IF(OR(N60="",O60=""),"",MAX(0,N60-O60))</x:f>
      </x:c>
      <x:c r="Q60" s="209" t="str">
        <x:f>IF(L60="","",L60+IF(M60="",0,M60)-IF(N60="",0,N60))</x:f>
      </x:c>
      <x:c r="R60" s="210" t="str">
        <x:f>IF(OR(J60="",J60=0,N60=""),"",N60/J60)</x:f>
      </x:c>
      <x:c r="S60" s="210" t="str">
        <x:f>IF(OR(K60="",K60=0,N60=""),"",N60/K60*1000)</x:f>
      </x:c>
      <x:c r="T60" s="211" t="str">
        <x:f>IF(N60="","",N60*Parameter!$B$4)</x:f>
      </x:c>
      <x:c r="U60" s="212" t="str">
        <x:f>IF(B60="","",IF(OR(J60="",K60=""),"DATA TIDAK LENGKAP",IF(OR(N60&gt;Parameter!$B$5*1.2,R60&gt;Parameter!$B$6*1.2,S60&gt;Parameter!$B$7*1.2,P60&gt;0),"OVER LIMIT",IF(OR(N60&gt;Parameter!$B$5,R60&gt;Parameter!$B$6,S60&gt;Parameter!$B$7),"WARNING","NORMAL"))))</x:f>
      </x:c>
      <x:c r="V60" s="182"/>
      <x:c r="W60" s="188"/>
    </x:row>
    <x:row r="61">
      <x:c r="A61" s="194" t="n">
        <x:f>ROW()-4</x:f>
        <x:v>57</x:v>
      </x:c>
      <x:c r="B61" s="142"/>
      <x:c r="C61" s="143"/>
      <x:c r="D61" s="143"/>
      <x:c r="E61" s="182"/>
      <x:c r="F61" s="182"/>
      <x:c r="G61" s="182"/>
      <x:c r="H61" s="144"/>
      <x:c r="I61" s="144"/>
      <x:c r="J61" s="200" t="str">
        <x:f>IF(OR(H61="",I61=""),"",MAX(0,I61-H61))</x:f>
      </x:c>
      <x:c r="K61" s="145"/>
      <x:c r="L61" s="145"/>
      <x:c r="M61" s="145"/>
      <x:c r="N61" s="145"/>
      <x:c r="O61" s="145"/>
      <x:c r="P61" s="209" t="str">
        <x:f>IF(OR(N61="",O61=""),"",MAX(0,N61-O61))</x:f>
      </x:c>
      <x:c r="Q61" s="209" t="str">
        <x:f>IF(L61="","",L61+IF(M61="",0,M61)-IF(N61="",0,N61))</x:f>
      </x:c>
      <x:c r="R61" s="210" t="str">
        <x:f>IF(OR(J61="",J61=0,N61=""),"",N61/J61)</x:f>
      </x:c>
      <x:c r="S61" s="210" t="str">
        <x:f>IF(OR(K61="",K61=0,N61=""),"",N61/K61*1000)</x:f>
      </x:c>
      <x:c r="T61" s="211" t="str">
        <x:f>IF(N61="","",N61*Parameter!$B$4)</x:f>
      </x:c>
      <x:c r="U61" s="212" t="str">
        <x:f>IF(B61="","",IF(OR(J61="",K61=""),"DATA TIDAK LENGKAP",IF(OR(N61&gt;Parameter!$B$5*1.2,R61&gt;Parameter!$B$6*1.2,S61&gt;Parameter!$B$7*1.2,P61&gt;0),"OVER LIMIT",IF(OR(N61&gt;Parameter!$B$5,R61&gt;Parameter!$B$6,S61&gt;Parameter!$B$7),"WARNING","NORMAL"))))</x:f>
      </x:c>
      <x:c r="V61" s="182"/>
      <x:c r="W61" s="188"/>
    </x:row>
    <x:row r="62">
      <x:c r="A62" s="194" t="n">
        <x:f>ROW()-4</x:f>
        <x:v>58</x:v>
      </x:c>
      <x:c r="B62" s="142"/>
      <x:c r="C62" s="143"/>
      <x:c r="D62" s="143"/>
      <x:c r="E62" s="182"/>
      <x:c r="F62" s="182"/>
      <x:c r="G62" s="182"/>
      <x:c r="H62" s="144"/>
      <x:c r="I62" s="144"/>
      <x:c r="J62" s="200" t="str">
        <x:f>IF(OR(H62="",I62=""),"",MAX(0,I62-H62))</x:f>
      </x:c>
      <x:c r="K62" s="145"/>
      <x:c r="L62" s="145"/>
      <x:c r="M62" s="145"/>
      <x:c r="N62" s="145"/>
      <x:c r="O62" s="145"/>
      <x:c r="P62" s="209" t="str">
        <x:f>IF(OR(N62="",O62=""),"",MAX(0,N62-O62))</x:f>
      </x:c>
      <x:c r="Q62" s="209" t="str">
        <x:f>IF(L62="","",L62+IF(M62="",0,M62)-IF(N62="",0,N62))</x:f>
      </x:c>
      <x:c r="R62" s="210" t="str">
        <x:f>IF(OR(J62="",J62=0,N62=""),"",N62/J62)</x:f>
      </x:c>
      <x:c r="S62" s="210" t="str">
        <x:f>IF(OR(K62="",K62=0,N62=""),"",N62/K62*1000)</x:f>
      </x:c>
      <x:c r="T62" s="211" t="str">
        <x:f>IF(N62="","",N62*Parameter!$B$4)</x:f>
      </x:c>
      <x:c r="U62" s="212" t="str">
        <x:f>IF(B62="","",IF(OR(J62="",K62=""),"DATA TIDAK LENGKAP",IF(OR(N62&gt;Parameter!$B$5*1.2,R62&gt;Parameter!$B$6*1.2,S62&gt;Parameter!$B$7*1.2,P62&gt;0),"OVER LIMIT",IF(OR(N62&gt;Parameter!$B$5,R62&gt;Parameter!$B$6,S62&gt;Parameter!$B$7),"WARNING","NORMAL"))))</x:f>
      </x:c>
      <x:c r="V62" s="182"/>
      <x:c r="W62" s="188"/>
    </x:row>
    <x:row r="63">
      <x:c r="A63" s="194" t="n">
        <x:f>ROW()-4</x:f>
        <x:v>59</x:v>
      </x:c>
      <x:c r="B63" s="142"/>
      <x:c r="C63" s="143"/>
      <x:c r="D63" s="143"/>
      <x:c r="E63" s="182"/>
      <x:c r="F63" s="182"/>
      <x:c r="G63" s="182"/>
      <x:c r="H63" s="144"/>
      <x:c r="I63" s="144"/>
      <x:c r="J63" s="200" t="str">
        <x:f>IF(OR(H63="",I63=""),"",MAX(0,I63-H63))</x:f>
      </x:c>
      <x:c r="K63" s="145"/>
      <x:c r="L63" s="145"/>
      <x:c r="M63" s="145"/>
      <x:c r="N63" s="145"/>
      <x:c r="O63" s="145"/>
      <x:c r="P63" s="209" t="str">
        <x:f>IF(OR(N63="",O63=""),"",MAX(0,N63-O63))</x:f>
      </x:c>
      <x:c r="Q63" s="209" t="str">
        <x:f>IF(L63="","",L63+IF(M63="",0,M63)-IF(N63="",0,N63))</x:f>
      </x:c>
      <x:c r="R63" s="210" t="str">
        <x:f>IF(OR(J63="",J63=0,N63=""),"",N63/J63)</x:f>
      </x:c>
      <x:c r="S63" s="210" t="str">
        <x:f>IF(OR(K63="",K63=0,N63=""),"",N63/K63*1000)</x:f>
      </x:c>
      <x:c r="T63" s="211" t="str">
        <x:f>IF(N63="","",N63*Parameter!$B$4)</x:f>
      </x:c>
      <x:c r="U63" s="212" t="str">
        <x:f>IF(B63="","",IF(OR(J63="",K63=""),"DATA TIDAK LENGKAP",IF(OR(N63&gt;Parameter!$B$5*1.2,R63&gt;Parameter!$B$6*1.2,S63&gt;Parameter!$B$7*1.2,P63&gt;0),"OVER LIMIT",IF(OR(N63&gt;Parameter!$B$5,R63&gt;Parameter!$B$6,S63&gt;Parameter!$B$7),"WARNING","NORMAL"))))</x:f>
      </x:c>
      <x:c r="V63" s="182"/>
      <x:c r="W63" s="188"/>
    </x:row>
    <x:row r="64">
      <x:c r="A64" s="194" t="n">
        <x:f>ROW()-4</x:f>
        <x:v>60</x:v>
      </x:c>
      <x:c r="B64" s="142"/>
      <x:c r="C64" s="143"/>
      <x:c r="D64" s="143"/>
      <x:c r="E64" s="182"/>
      <x:c r="F64" s="182"/>
      <x:c r="G64" s="182"/>
      <x:c r="H64" s="144"/>
      <x:c r="I64" s="144"/>
      <x:c r="J64" s="200" t="str">
        <x:f>IF(OR(H64="",I64=""),"",MAX(0,I64-H64))</x:f>
      </x:c>
      <x:c r="K64" s="145"/>
      <x:c r="L64" s="145"/>
      <x:c r="M64" s="145"/>
      <x:c r="N64" s="145"/>
      <x:c r="O64" s="145"/>
      <x:c r="P64" s="209" t="str">
        <x:f>IF(OR(N64="",O64=""),"",MAX(0,N64-O64))</x:f>
      </x:c>
      <x:c r="Q64" s="209" t="str">
        <x:f>IF(L64="","",L64+IF(M64="",0,M64)-IF(N64="",0,N64))</x:f>
      </x:c>
      <x:c r="R64" s="210" t="str">
        <x:f>IF(OR(J64="",J64=0,N64=""),"",N64/J64)</x:f>
      </x:c>
      <x:c r="S64" s="210" t="str">
        <x:f>IF(OR(K64="",K64=0,N64=""),"",N64/K64*1000)</x:f>
      </x:c>
      <x:c r="T64" s="211" t="str">
        <x:f>IF(N64="","",N64*Parameter!$B$4)</x:f>
      </x:c>
      <x:c r="U64" s="212" t="str">
        <x:f>IF(B64="","",IF(OR(J64="",K64=""),"DATA TIDAK LENGKAP",IF(OR(N64&gt;Parameter!$B$5*1.2,R64&gt;Parameter!$B$6*1.2,S64&gt;Parameter!$B$7*1.2,P64&gt;0),"OVER LIMIT",IF(OR(N64&gt;Parameter!$B$5,R64&gt;Parameter!$B$6,S64&gt;Parameter!$B$7),"WARNING","NORMAL"))))</x:f>
      </x:c>
      <x:c r="V64" s="182"/>
      <x:c r="W64" s="188"/>
    </x:row>
    <x:row r="65">
      <x:c r="A65" s="194" t="n">
        <x:f>ROW()-4</x:f>
        <x:v>61</x:v>
      </x:c>
      <x:c r="B65" s="142"/>
      <x:c r="C65" s="143"/>
      <x:c r="D65" s="143"/>
      <x:c r="E65" s="182"/>
      <x:c r="F65" s="182"/>
      <x:c r="G65" s="182"/>
      <x:c r="H65" s="144"/>
      <x:c r="I65" s="144"/>
      <x:c r="J65" s="200" t="str">
        <x:f>IF(OR(H65="",I65=""),"",MAX(0,I65-H65))</x:f>
      </x:c>
      <x:c r="K65" s="145"/>
      <x:c r="L65" s="145"/>
      <x:c r="M65" s="145"/>
      <x:c r="N65" s="145"/>
      <x:c r="O65" s="145"/>
      <x:c r="P65" s="209" t="str">
        <x:f>IF(OR(N65="",O65=""),"",MAX(0,N65-O65))</x:f>
      </x:c>
      <x:c r="Q65" s="209" t="str">
        <x:f>IF(L65="","",L65+IF(M65="",0,M65)-IF(N65="",0,N65))</x:f>
      </x:c>
      <x:c r="R65" s="210" t="str">
        <x:f>IF(OR(J65="",J65=0,N65=""),"",N65/J65)</x:f>
      </x:c>
      <x:c r="S65" s="210" t="str">
        <x:f>IF(OR(K65="",K65=0,N65=""),"",N65/K65*1000)</x:f>
      </x:c>
      <x:c r="T65" s="211" t="str">
        <x:f>IF(N65="","",N65*Parameter!$B$4)</x:f>
      </x:c>
      <x:c r="U65" s="212" t="str">
        <x:f>IF(B65="","",IF(OR(J65="",K65=""),"DATA TIDAK LENGKAP",IF(OR(N65&gt;Parameter!$B$5*1.2,R65&gt;Parameter!$B$6*1.2,S65&gt;Parameter!$B$7*1.2,P65&gt;0),"OVER LIMIT",IF(OR(N65&gt;Parameter!$B$5,R65&gt;Parameter!$B$6,S65&gt;Parameter!$B$7),"WARNING","NORMAL"))))</x:f>
      </x:c>
      <x:c r="V65" s="182"/>
      <x:c r="W65" s="188"/>
    </x:row>
    <x:row r="66">
      <x:c r="A66" s="194" t="n">
        <x:f>ROW()-4</x:f>
        <x:v>62</x:v>
      </x:c>
      <x:c r="B66" s="142"/>
      <x:c r="C66" s="143"/>
      <x:c r="D66" s="143"/>
      <x:c r="E66" s="182"/>
      <x:c r="F66" s="182"/>
      <x:c r="G66" s="182"/>
      <x:c r="H66" s="144"/>
      <x:c r="I66" s="144"/>
      <x:c r="J66" s="200" t="str">
        <x:f>IF(OR(H66="",I66=""),"",MAX(0,I66-H66))</x:f>
      </x:c>
      <x:c r="K66" s="145"/>
      <x:c r="L66" s="145"/>
      <x:c r="M66" s="145"/>
      <x:c r="N66" s="145"/>
      <x:c r="O66" s="145"/>
      <x:c r="P66" s="209" t="str">
        <x:f>IF(OR(N66="",O66=""),"",MAX(0,N66-O66))</x:f>
      </x:c>
      <x:c r="Q66" s="209" t="str">
        <x:f>IF(L66="","",L66+IF(M66="",0,M66)-IF(N66="",0,N66))</x:f>
      </x:c>
      <x:c r="R66" s="210" t="str">
        <x:f>IF(OR(J66="",J66=0,N66=""),"",N66/J66)</x:f>
      </x:c>
      <x:c r="S66" s="210" t="str">
        <x:f>IF(OR(K66="",K66=0,N66=""),"",N66/K66*1000)</x:f>
      </x:c>
      <x:c r="T66" s="211" t="str">
        <x:f>IF(N66="","",N66*Parameter!$B$4)</x:f>
      </x:c>
      <x:c r="U66" s="212" t="str">
        <x:f>IF(B66="","",IF(OR(J66="",K66=""),"DATA TIDAK LENGKAP",IF(OR(N66&gt;Parameter!$B$5*1.2,R66&gt;Parameter!$B$6*1.2,S66&gt;Parameter!$B$7*1.2,P66&gt;0),"OVER LIMIT",IF(OR(N66&gt;Parameter!$B$5,R66&gt;Parameter!$B$6,S66&gt;Parameter!$B$7),"WARNING","NORMAL"))))</x:f>
      </x:c>
      <x:c r="V66" s="182"/>
      <x:c r="W66" s="188"/>
    </x:row>
    <x:row r="67">
      <x:c r="A67" s="194" t="n">
        <x:f>ROW()-4</x:f>
        <x:v>63</x:v>
      </x:c>
      <x:c r="B67" s="142"/>
      <x:c r="C67" s="143"/>
      <x:c r="D67" s="143"/>
      <x:c r="E67" s="182"/>
      <x:c r="F67" s="182"/>
      <x:c r="G67" s="182"/>
      <x:c r="H67" s="144"/>
      <x:c r="I67" s="144"/>
      <x:c r="J67" s="200" t="str">
        <x:f>IF(OR(H67="",I67=""),"",MAX(0,I67-H67))</x:f>
      </x:c>
      <x:c r="K67" s="145"/>
      <x:c r="L67" s="145"/>
      <x:c r="M67" s="145"/>
      <x:c r="N67" s="145"/>
      <x:c r="O67" s="145"/>
      <x:c r="P67" s="209" t="str">
        <x:f>IF(OR(N67="",O67=""),"",MAX(0,N67-O67))</x:f>
      </x:c>
      <x:c r="Q67" s="209" t="str">
        <x:f>IF(L67="","",L67+IF(M67="",0,M67)-IF(N67="",0,N67))</x:f>
      </x:c>
      <x:c r="R67" s="210" t="str">
        <x:f>IF(OR(J67="",J67=0,N67=""),"",N67/J67)</x:f>
      </x:c>
      <x:c r="S67" s="210" t="str">
        <x:f>IF(OR(K67="",K67=0,N67=""),"",N67/K67*1000)</x:f>
      </x:c>
      <x:c r="T67" s="211" t="str">
        <x:f>IF(N67="","",N67*Parameter!$B$4)</x:f>
      </x:c>
      <x:c r="U67" s="212" t="str">
        <x:f>IF(B67="","",IF(OR(J67="",K67=""),"DATA TIDAK LENGKAP",IF(OR(N67&gt;Parameter!$B$5*1.2,R67&gt;Parameter!$B$6*1.2,S67&gt;Parameter!$B$7*1.2,P67&gt;0),"OVER LIMIT",IF(OR(N67&gt;Parameter!$B$5,R67&gt;Parameter!$B$6,S67&gt;Parameter!$B$7),"WARNING","NORMAL"))))</x:f>
      </x:c>
      <x:c r="V67" s="182"/>
      <x:c r="W67" s="188"/>
    </x:row>
    <x:row r="68">
      <x:c r="A68" s="194" t="n">
        <x:f>ROW()-4</x:f>
        <x:v>64</x:v>
      </x:c>
      <x:c r="B68" s="142"/>
      <x:c r="C68" s="143"/>
      <x:c r="D68" s="143"/>
      <x:c r="E68" s="182"/>
      <x:c r="F68" s="182"/>
      <x:c r="G68" s="182"/>
      <x:c r="H68" s="144"/>
      <x:c r="I68" s="144"/>
      <x:c r="J68" s="200" t="str">
        <x:f>IF(OR(H68="",I68=""),"",MAX(0,I68-H68))</x:f>
      </x:c>
      <x:c r="K68" s="145"/>
      <x:c r="L68" s="145"/>
      <x:c r="M68" s="145"/>
      <x:c r="N68" s="145"/>
      <x:c r="O68" s="145"/>
      <x:c r="P68" s="209" t="str">
        <x:f>IF(OR(N68="",O68=""),"",MAX(0,N68-O68))</x:f>
      </x:c>
      <x:c r="Q68" s="209" t="str">
        <x:f>IF(L68="","",L68+IF(M68="",0,M68)-IF(N68="",0,N68))</x:f>
      </x:c>
      <x:c r="R68" s="210" t="str">
        <x:f>IF(OR(J68="",J68=0,N68=""),"",N68/J68)</x:f>
      </x:c>
      <x:c r="S68" s="210" t="str">
        <x:f>IF(OR(K68="",K68=0,N68=""),"",N68/K68*1000)</x:f>
      </x:c>
      <x:c r="T68" s="211" t="str">
        <x:f>IF(N68="","",N68*Parameter!$B$4)</x:f>
      </x:c>
      <x:c r="U68" s="212" t="str">
        <x:f>IF(B68="","",IF(OR(J68="",K68=""),"DATA TIDAK LENGKAP",IF(OR(N68&gt;Parameter!$B$5*1.2,R68&gt;Parameter!$B$6*1.2,S68&gt;Parameter!$B$7*1.2,P68&gt;0),"OVER LIMIT",IF(OR(N68&gt;Parameter!$B$5,R68&gt;Parameter!$B$6,S68&gt;Parameter!$B$7),"WARNING","NORMAL"))))</x:f>
      </x:c>
      <x:c r="V68" s="182"/>
      <x:c r="W68" s="188"/>
    </x:row>
    <x:row r="69">
      <x:c r="A69" s="194" t="n">
        <x:f>ROW()-4</x:f>
        <x:v>65</x:v>
      </x:c>
      <x:c r="B69" s="142"/>
      <x:c r="C69" s="143"/>
      <x:c r="D69" s="143"/>
      <x:c r="E69" s="182"/>
      <x:c r="F69" s="182"/>
      <x:c r="G69" s="182"/>
      <x:c r="H69" s="144"/>
      <x:c r="I69" s="144"/>
      <x:c r="J69" s="200" t="str">
        <x:f>IF(OR(H69="",I69=""),"",MAX(0,I69-H69))</x:f>
      </x:c>
      <x:c r="K69" s="145"/>
      <x:c r="L69" s="145"/>
      <x:c r="M69" s="145"/>
      <x:c r="N69" s="145"/>
      <x:c r="O69" s="145"/>
      <x:c r="P69" s="209" t="str">
        <x:f>IF(OR(N69="",O69=""),"",MAX(0,N69-O69))</x:f>
      </x:c>
      <x:c r="Q69" s="209" t="str">
        <x:f>IF(L69="","",L69+IF(M69="",0,M69)-IF(N69="",0,N69))</x:f>
      </x:c>
      <x:c r="R69" s="210" t="str">
        <x:f>IF(OR(J69="",J69=0,N69=""),"",N69/J69)</x:f>
      </x:c>
      <x:c r="S69" s="210" t="str">
        <x:f>IF(OR(K69="",K69=0,N69=""),"",N69/K69*1000)</x:f>
      </x:c>
      <x:c r="T69" s="211" t="str">
        <x:f>IF(N69="","",N69*Parameter!$B$4)</x:f>
      </x:c>
      <x:c r="U69" s="212" t="str">
        <x:f>IF(B69="","",IF(OR(J69="",K69=""),"DATA TIDAK LENGKAP",IF(OR(N69&gt;Parameter!$B$5*1.2,R69&gt;Parameter!$B$6*1.2,S69&gt;Parameter!$B$7*1.2,P69&gt;0),"OVER LIMIT",IF(OR(N69&gt;Parameter!$B$5,R69&gt;Parameter!$B$6,S69&gt;Parameter!$B$7),"WARNING","NORMAL"))))</x:f>
      </x:c>
      <x:c r="V69" s="182"/>
      <x:c r="W69" s="188"/>
    </x:row>
    <x:row r="70">
      <x:c r="A70" s="194" t="n">
        <x:f>ROW()-4</x:f>
        <x:v>66</x:v>
      </x:c>
      <x:c r="B70" s="142"/>
      <x:c r="C70" s="143"/>
      <x:c r="D70" s="143"/>
      <x:c r="E70" s="182"/>
      <x:c r="F70" s="182"/>
      <x:c r="G70" s="182"/>
      <x:c r="H70" s="144"/>
      <x:c r="I70" s="144"/>
      <x:c r="J70" s="200" t="str">
        <x:f>IF(OR(H70="",I70=""),"",MAX(0,I70-H70))</x:f>
      </x:c>
      <x:c r="K70" s="145"/>
      <x:c r="L70" s="145"/>
      <x:c r="M70" s="145"/>
      <x:c r="N70" s="145"/>
      <x:c r="O70" s="145"/>
      <x:c r="P70" s="209" t="str">
        <x:f>IF(OR(N70="",O70=""),"",MAX(0,N70-O70))</x:f>
      </x:c>
      <x:c r="Q70" s="209" t="str">
        <x:f>IF(L70="","",L70+IF(M70="",0,M70)-IF(N70="",0,N70))</x:f>
      </x:c>
      <x:c r="R70" s="210" t="str">
        <x:f>IF(OR(J70="",J70=0,N70=""),"",N70/J70)</x:f>
      </x:c>
      <x:c r="S70" s="210" t="str">
        <x:f>IF(OR(K70="",K70=0,N70=""),"",N70/K70*1000)</x:f>
      </x:c>
      <x:c r="T70" s="211" t="str">
        <x:f>IF(N70="","",N70*Parameter!$B$4)</x:f>
      </x:c>
      <x:c r="U70" s="212" t="str">
        <x:f>IF(B70="","",IF(OR(J70="",K70=""),"DATA TIDAK LENGKAP",IF(OR(N70&gt;Parameter!$B$5*1.2,R70&gt;Parameter!$B$6*1.2,S70&gt;Parameter!$B$7*1.2,P70&gt;0),"OVER LIMIT",IF(OR(N70&gt;Parameter!$B$5,R70&gt;Parameter!$B$6,S70&gt;Parameter!$B$7),"WARNING","NORMAL"))))</x:f>
      </x:c>
      <x:c r="V70" s="182"/>
      <x:c r="W70" s="188"/>
    </x:row>
    <x:row r="71">
      <x:c r="A71" s="194" t="n">
        <x:f>ROW()-4</x:f>
        <x:v>67</x:v>
      </x:c>
      <x:c r="B71" s="142"/>
      <x:c r="C71" s="143"/>
      <x:c r="D71" s="143"/>
      <x:c r="E71" s="182"/>
      <x:c r="F71" s="182"/>
      <x:c r="G71" s="182"/>
      <x:c r="H71" s="144"/>
      <x:c r="I71" s="144"/>
      <x:c r="J71" s="200" t="str">
        <x:f>IF(OR(H71="",I71=""),"",MAX(0,I71-H71))</x:f>
      </x:c>
      <x:c r="K71" s="145"/>
      <x:c r="L71" s="145"/>
      <x:c r="M71" s="145"/>
      <x:c r="N71" s="145"/>
      <x:c r="O71" s="145"/>
      <x:c r="P71" s="209" t="str">
        <x:f>IF(OR(N71="",O71=""),"",MAX(0,N71-O71))</x:f>
      </x:c>
      <x:c r="Q71" s="209" t="str">
        <x:f>IF(L71="","",L71+IF(M71="",0,M71)-IF(N71="",0,N71))</x:f>
      </x:c>
      <x:c r="R71" s="210" t="str">
        <x:f>IF(OR(J71="",J71=0,N71=""),"",N71/J71)</x:f>
      </x:c>
      <x:c r="S71" s="210" t="str">
        <x:f>IF(OR(K71="",K71=0,N71=""),"",N71/K71*1000)</x:f>
      </x:c>
      <x:c r="T71" s="211" t="str">
        <x:f>IF(N71="","",N71*Parameter!$B$4)</x:f>
      </x:c>
      <x:c r="U71" s="212" t="str">
        <x:f>IF(B71="","",IF(OR(J71="",K71=""),"DATA TIDAK LENGKAP",IF(OR(N71&gt;Parameter!$B$5*1.2,R71&gt;Parameter!$B$6*1.2,S71&gt;Parameter!$B$7*1.2,P71&gt;0),"OVER LIMIT",IF(OR(N71&gt;Parameter!$B$5,R71&gt;Parameter!$B$6,S71&gt;Parameter!$B$7),"WARNING","NORMAL"))))</x:f>
      </x:c>
      <x:c r="V71" s="182"/>
      <x:c r="W71" s="188"/>
    </x:row>
    <x:row r="72">
      <x:c r="A72" s="194" t="n">
        <x:f>ROW()-4</x:f>
        <x:v>68</x:v>
      </x:c>
      <x:c r="B72" s="142"/>
      <x:c r="C72" s="143"/>
      <x:c r="D72" s="143"/>
      <x:c r="E72" s="182"/>
      <x:c r="F72" s="182"/>
      <x:c r="G72" s="182"/>
      <x:c r="H72" s="144"/>
      <x:c r="I72" s="144"/>
      <x:c r="J72" s="200" t="str">
        <x:f>IF(OR(H72="",I72=""),"",MAX(0,I72-H72))</x:f>
      </x:c>
      <x:c r="K72" s="145"/>
      <x:c r="L72" s="145"/>
      <x:c r="M72" s="145"/>
      <x:c r="N72" s="145"/>
      <x:c r="O72" s="145"/>
      <x:c r="P72" s="209" t="str">
        <x:f>IF(OR(N72="",O72=""),"",MAX(0,N72-O72))</x:f>
      </x:c>
      <x:c r="Q72" s="209" t="str">
        <x:f>IF(L72="","",L72+IF(M72="",0,M72)-IF(N72="",0,N72))</x:f>
      </x:c>
      <x:c r="R72" s="210" t="str">
        <x:f>IF(OR(J72="",J72=0,N72=""),"",N72/J72)</x:f>
      </x:c>
      <x:c r="S72" s="210" t="str">
        <x:f>IF(OR(K72="",K72=0,N72=""),"",N72/K72*1000)</x:f>
      </x:c>
      <x:c r="T72" s="211" t="str">
        <x:f>IF(N72="","",N72*Parameter!$B$4)</x:f>
      </x:c>
      <x:c r="U72" s="212" t="str">
        <x:f>IF(B72="","",IF(OR(J72="",K72=""),"DATA TIDAK LENGKAP",IF(OR(N72&gt;Parameter!$B$5*1.2,R72&gt;Parameter!$B$6*1.2,S72&gt;Parameter!$B$7*1.2,P72&gt;0),"OVER LIMIT",IF(OR(N72&gt;Parameter!$B$5,R72&gt;Parameter!$B$6,S72&gt;Parameter!$B$7),"WARNING","NORMAL"))))</x:f>
      </x:c>
      <x:c r="V72" s="182"/>
      <x:c r="W72" s="188"/>
    </x:row>
    <x:row r="73">
      <x:c r="A73" s="194" t="n">
        <x:f>ROW()-4</x:f>
        <x:v>69</x:v>
      </x:c>
      <x:c r="B73" s="142"/>
      <x:c r="C73" s="143"/>
      <x:c r="D73" s="143"/>
      <x:c r="E73" s="182"/>
      <x:c r="F73" s="182"/>
      <x:c r="G73" s="182"/>
      <x:c r="H73" s="144"/>
      <x:c r="I73" s="144"/>
      <x:c r="J73" s="200" t="str">
        <x:f>IF(OR(H73="",I73=""),"",MAX(0,I73-H73))</x:f>
      </x:c>
      <x:c r="K73" s="145"/>
      <x:c r="L73" s="145"/>
      <x:c r="M73" s="145"/>
      <x:c r="N73" s="145"/>
      <x:c r="O73" s="145"/>
      <x:c r="P73" s="209" t="str">
        <x:f>IF(OR(N73="",O73=""),"",MAX(0,N73-O73))</x:f>
      </x:c>
      <x:c r="Q73" s="209" t="str">
        <x:f>IF(L73="","",L73+IF(M73="",0,M73)-IF(N73="",0,N73))</x:f>
      </x:c>
      <x:c r="R73" s="210" t="str">
        <x:f>IF(OR(J73="",J73=0,N73=""),"",N73/J73)</x:f>
      </x:c>
      <x:c r="S73" s="210" t="str">
        <x:f>IF(OR(K73="",K73=0,N73=""),"",N73/K73*1000)</x:f>
      </x:c>
      <x:c r="T73" s="211" t="str">
        <x:f>IF(N73="","",N73*Parameter!$B$4)</x:f>
      </x:c>
      <x:c r="U73" s="212" t="str">
        <x:f>IF(B73="","",IF(OR(J73="",K73=""),"DATA TIDAK LENGKAP",IF(OR(N73&gt;Parameter!$B$5*1.2,R73&gt;Parameter!$B$6*1.2,S73&gt;Parameter!$B$7*1.2,P73&gt;0),"OVER LIMIT",IF(OR(N73&gt;Parameter!$B$5,R73&gt;Parameter!$B$6,S73&gt;Parameter!$B$7),"WARNING","NORMAL"))))</x:f>
      </x:c>
      <x:c r="V73" s="182"/>
      <x:c r="W73" s="188"/>
    </x:row>
    <x:row r="74">
      <x:c r="A74" s="194" t="n">
        <x:f>ROW()-4</x:f>
        <x:v>70</x:v>
      </x:c>
      <x:c r="B74" s="142"/>
      <x:c r="C74" s="143"/>
      <x:c r="D74" s="143"/>
      <x:c r="E74" s="182"/>
      <x:c r="F74" s="182"/>
      <x:c r="G74" s="182"/>
      <x:c r="H74" s="144"/>
      <x:c r="I74" s="144"/>
      <x:c r="J74" s="200" t="str">
        <x:f>IF(OR(H74="",I74=""),"",MAX(0,I74-H74))</x:f>
      </x:c>
      <x:c r="K74" s="145"/>
      <x:c r="L74" s="145"/>
      <x:c r="M74" s="145"/>
      <x:c r="N74" s="145"/>
      <x:c r="O74" s="145"/>
      <x:c r="P74" s="209" t="str">
        <x:f>IF(OR(N74="",O74=""),"",MAX(0,N74-O74))</x:f>
      </x:c>
      <x:c r="Q74" s="209" t="str">
        <x:f>IF(L74="","",L74+IF(M74="",0,M74)-IF(N74="",0,N74))</x:f>
      </x:c>
      <x:c r="R74" s="210" t="str">
        <x:f>IF(OR(J74="",J74=0,N74=""),"",N74/J74)</x:f>
      </x:c>
      <x:c r="S74" s="210" t="str">
        <x:f>IF(OR(K74="",K74=0,N74=""),"",N74/K74*1000)</x:f>
      </x:c>
      <x:c r="T74" s="211" t="str">
        <x:f>IF(N74="","",N74*Parameter!$B$4)</x:f>
      </x:c>
      <x:c r="U74" s="212" t="str">
        <x:f>IF(B74="","",IF(OR(J74="",K74=""),"DATA TIDAK LENGKAP",IF(OR(N74&gt;Parameter!$B$5*1.2,R74&gt;Parameter!$B$6*1.2,S74&gt;Parameter!$B$7*1.2,P74&gt;0),"OVER LIMIT",IF(OR(N74&gt;Parameter!$B$5,R74&gt;Parameter!$B$6,S74&gt;Parameter!$B$7),"WARNING","NORMAL"))))</x:f>
      </x:c>
      <x:c r="V74" s="182"/>
      <x:c r="W74" s="188"/>
    </x:row>
    <x:row r="75">
      <x:c r="A75" s="194" t="n">
        <x:f>ROW()-4</x:f>
        <x:v>71</x:v>
      </x:c>
      <x:c r="B75" s="142"/>
      <x:c r="C75" s="143"/>
      <x:c r="D75" s="143"/>
      <x:c r="E75" s="182"/>
      <x:c r="F75" s="182"/>
      <x:c r="G75" s="182"/>
      <x:c r="H75" s="144"/>
      <x:c r="I75" s="144"/>
      <x:c r="J75" s="200" t="str">
        <x:f>IF(OR(H75="",I75=""),"",MAX(0,I75-H75))</x:f>
      </x:c>
      <x:c r="K75" s="145"/>
      <x:c r="L75" s="145"/>
      <x:c r="M75" s="145"/>
      <x:c r="N75" s="145"/>
      <x:c r="O75" s="145"/>
      <x:c r="P75" s="209" t="str">
        <x:f>IF(OR(N75="",O75=""),"",MAX(0,N75-O75))</x:f>
      </x:c>
      <x:c r="Q75" s="209" t="str">
        <x:f>IF(L75="","",L75+IF(M75="",0,M75)-IF(N75="",0,N75))</x:f>
      </x:c>
      <x:c r="R75" s="210" t="str">
        <x:f>IF(OR(J75="",J75=0,N75=""),"",N75/J75)</x:f>
      </x:c>
      <x:c r="S75" s="210" t="str">
        <x:f>IF(OR(K75="",K75=0,N75=""),"",N75/K75*1000)</x:f>
      </x:c>
      <x:c r="T75" s="211" t="str">
        <x:f>IF(N75="","",N75*Parameter!$B$4)</x:f>
      </x:c>
      <x:c r="U75" s="212" t="str">
        <x:f>IF(B75="","",IF(OR(J75="",K75=""),"DATA TIDAK LENGKAP",IF(OR(N75&gt;Parameter!$B$5*1.2,R75&gt;Parameter!$B$6*1.2,S75&gt;Parameter!$B$7*1.2,P75&gt;0),"OVER LIMIT",IF(OR(N75&gt;Parameter!$B$5,R75&gt;Parameter!$B$6,S75&gt;Parameter!$B$7),"WARNING","NORMAL"))))</x:f>
      </x:c>
      <x:c r="V75" s="182"/>
      <x:c r="W75" s="188"/>
    </x:row>
    <x:row r="76">
      <x:c r="A76" s="194" t="n">
        <x:f>ROW()-4</x:f>
        <x:v>72</x:v>
      </x:c>
      <x:c r="B76" s="142"/>
      <x:c r="C76" s="143"/>
      <x:c r="D76" s="143"/>
      <x:c r="E76" s="182"/>
      <x:c r="F76" s="182"/>
      <x:c r="G76" s="182"/>
      <x:c r="H76" s="144"/>
      <x:c r="I76" s="144"/>
      <x:c r="J76" s="200" t="str">
        <x:f>IF(OR(H76="",I76=""),"",MAX(0,I76-H76))</x:f>
      </x:c>
      <x:c r="K76" s="145"/>
      <x:c r="L76" s="145"/>
      <x:c r="M76" s="145"/>
      <x:c r="N76" s="145"/>
      <x:c r="O76" s="145"/>
      <x:c r="P76" s="209" t="str">
        <x:f>IF(OR(N76="",O76=""),"",MAX(0,N76-O76))</x:f>
      </x:c>
      <x:c r="Q76" s="209" t="str">
        <x:f>IF(L76="","",L76+IF(M76="",0,M76)-IF(N76="",0,N76))</x:f>
      </x:c>
      <x:c r="R76" s="210" t="str">
        <x:f>IF(OR(J76="",J76=0,N76=""),"",N76/J76)</x:f>
      </x:c>
      <x:c r="S76" s="210" t="str">
        <x:f>IF(OR(K76="",K76=0,N76=""),"",N76/K76*1000)</x:f>
      </x:c>
      <x:c r="T76" s="211" t="str">
        <x:f>IF(N76="","",N76*Parameter!$B$4)</x:f>
      </x:c>
      <x:c r="U76" s="212" t="str">
        <x:f>IF(B76="","",IF(OR(J76="",K76=""),"DATA TIDAK LENGKAP",IF(OR(N76&gt;Parameter!$B$5*1.2,R76&gt;Parameter!$B$6*1.2,S76&gt;Parameter!$B$7*1.2,P76&gt;0),"OVER LIMIT",IF(OR(N76&gt;Parameter!$B$5,R76&gt;Parameter!$B$6,S76&gt;Parameter!$B$7),"WARNING","NORMAL"))))</x:f>
      </x:c>
      <x:c r="V76" s="182"/>
      <x:c r="W76" s="188"/>
    </x:row>
    <x:row r="77">
      <x:c r="A77" s="194" t="n">
        <x:f>ROW()-4</x:f>
        <x:v>73</x:v>
      </x:c>
      <x:c r="B77" s="142"/>
      <x:c r="C77" s="143"/>
      <x:c r="D77" s="143"/>
      <x:c r="E77" s="182"/>
      <x:c r="F77" s="182"/>
      <x:c r="G77" s="182"/>
      <x:c r="H77" s="144"/>
      <x:c r="I77" s="144"/>
      <x:c r="J77" s="200" t="str">
        <x:f>IF(OR(H77="",I77=""),"",MAX(0,I77-H77))</x:f>
      </x:c>
      <x:c r="K77" s="145"/>
      <x:c r="L77" s="145"/>
      <x:c r="M77" s="145"/>
      <x:c r="N77" s="145"/>
      <x:c r="O77" s="145"/>
      <x:c r="P77" s="209" t="str">
        <x:f>IF(OR(N77="",O77=""),"",MAX(0,N77-O77))</x:f>
      </x:c>
      <x:c r="Q77" s="209" t="str">
        <x:f>IF(L77="","",L77+IF(M77="",0,M77)-IF(N77="",0,N77))</x:f>
      </x:c>
      <x:c r="R77" s="210" t="str">
        <x:f>IF(OR(J77="",J77=0,N77=""),"",N77/J77)</x:f>
      </x:c>
      <x:c r="S77" s="210" t="str">
        <x:f>IF(OR(K77="",K77=0,N77=""),"",N77/K77*1000)</x:f>
      </x:c>
      <x:c r="T77" s="211" t="str">
        <x:f>IF(N77="","",N77*Parameter!$B$4)</x:f>
      </x:c>
      <x:c r="U77" s="212" t="str">
        <x:f>IF(B77="","",IF(OR(J77="",K77=""),"DATA TIDAK LENGKAP",IF(OR(N77&gt;Parameter!$B$5*1.2,R77&gt;Parameter!$B$6*1.2,S77&gt;Parameter!$B$7*1.2,P77&gt;0),"OVER LIMIT",IF(OR(N77&gt;Parameter!$B$5,R77&gt;Parameter!$B$6,S77&gt;Parameter!$B$7),"WARNING","NORMAL"))))</x:f>
      </x:c>
      <x:c r="V77" s="182"/>
      <x:c r="W77" s="188"/>
    </x:row>
    <x:row r="78">
      <x:c r="A78" s="194" t="n">
        <x:f>ROW()-4</x:f>
        <x:v>74</x:v>
      </x:c>
      <x:c r="B78" s="142"/>
      <x:c r="C78" s="143"/>
      <x:c r="D78" s="143"/>
      <x:c r="E78" s="182"/>
      <x:c r="F78" s="182"/>
      <x:c r="G78" s="182"/>
      <x:c r="H78" s="144"/>
      <x:c r="I78" s="144"/>
      <x:c r="J78" s="200" t="str">
        <x:f>IF(OR(H78="",I78=""),"",MAX(0,I78-H78))</x:f>
      </x:c>
      <x:c r="K78" s="145"/>
      <x:c r="L78" s="145"/>
      <x:c r="M78" s="145"/>
      <x:c r="N78" s="145"/>
      <x:c r="O78" s="145"/>
      <x:c r="P78" s="209" t="str">
        <x:f>IF(OR(N78="",O78=""),"",MAX(0,N78-O78))</x:f>
      </x:c>
      <x:c r="Q78" s="209" t="str">
        <x:f>IF(L78="","",L78+IF(M78="",0,M78)-IF(N78="",0,N78))</x:f>
      </x:c>
      <x:c r="R78" s="210" t="str">
        <x:f>IF(OR(J78="",J78=0,N78=""),"",N78/J78)</x:f>
      </x:c>
      <x:c r="S78" s="210" t="str">
        <x:f>IF(OR(K78="",K78=0,N78=""),"",N78/K78*1000)</x:f>
      </x:c>
      <x:c r="T78" s="211" t="str">
        <x:f>IF(N78="","",N78*Parameter!$B$4)</x:f>
      </x:c>
      <x:c r="U78" s="212" t="str">
        <x:f>IF(B78="","",IF(OR(J78="",K78=""),"DATA TIDAK LENGKAP",IF(OR(N78&gt;Parameter!$B$5*1.2,R78&gt;Parameter!$B$6*1.2,S78&gt;Parameter!$B$7*1.2,P78&gt;0),"OVER LIMIT",IF(OR(N78&gt;Parameter!$B$5,R78&gt;Parameter!$B$6,S78&gt;Parameter!$B$7),"WARNING","NORMAL"))))</x:f>
      </x:c>
      <x:c r="V78" s="182"/>
      <x:c r="W78" s="188"/>
    </x:row>
    <x:row r="79">
      <x:c r="A79" s="194" t="n">
        <x:f>ROW()-4</x:f>
        <x:v>75</x:v>
      </x:c>
      <x:c r="B79" s="142"/>
      <x:c r="C79" s="143"/>
      <x:c r="D79" s="143"/>
      <x:c r="E79" s="182"/>
      <x:c r="F79" s="182"/>
      <x:c r="G79" s="182"/>
      <x:c r="H79" s="144"/>
      <x:c r="I79" s="144"/>
      <x:c r="J79" s="200" t="str">
        <x:f>IF(OR(H79="",I79=""),"",MAX(0,I79-H79))</x:f>
      </x:c>
      <x:c r="K79" s="145"/>
      <x:c r="L79" s="145"/>
      <x:c r="M79" s="145"/>
      <x:c r="N79" s="145"/>
      <x:c r="O79" s="145"/>
      <x:c r="P79" s="209" t="str">
        <x:f>IF(OR(N79="",O79=""),"",MAX(0,N79-O79))</x:f>
      </x:c>
      <x:c r="Q79" s="209" t="str">
        <x:f>IF(L79="","",L79+IF(M79="",0,M79)-IF(N79="",0,N79))</x:f>
      </x:c>
      <x:c r="R79" s="210" t="str">
        <x:f>IF(OR(J79="",J79=0,N79=""),"",N79/J79)</x:f>
      </x:c>
      <x:c r="S79" s="210" t="str">
        <x:f>IF(OR(K79="",K79=0,N79=""),"",N79/K79*1000)</x:f>
      </x:c>
      <x:c r="T79" s="211" t="str">
        <x:f>IF(N79="","",N79*Parameter!$B$4)</x:f>
      </x:c>
      <x:c r="U79" s="212" t="str">
        <x:f>IF(B79="","",IF(OR(J79="",K79=""),"DATA TIDAK LENGKAP",IF(OR(N79&gt;Parameter!$B$5*1.2,R79&gt;Parameter!$B$6*1.2,S79&gt;Parameter!$B$7*1.2,P79&gt;0),"OVER LIMIT",IF(OR(N79&gt;Parameter!$B$5,R79&gt;Parameter!$B$6,S79&gt;Parameter!$B$7),"WARNING","NORMAL"))))</x:f>
      </x:c>
      <x:c r="V79" s="182"/>
      <x:c r="W79" s="188"/>
    </x:row>
    <x:row r="80">
      <x:c r="A80" s="194" t="n">
        <x:f>ROW()-4</x:f>
        <x:v>76</x:v>
      </x:c>
      <x:c r="B80" s="142"/>
      <x:c r="C80" s="143"/>
      <x:c r="D80" s="143"/>
      <x:c r="E80" s="182"/>
      <x:c r="F80" s="182"/>
      <x:c r="G80" s="182"/>
      <x:c r="H80" s="144"/>
      <x:c r="I80" s="144"/>
      <x:c r="J80" s="200" t="str">
        <x:f>IF(OR(H80="",I80=""),"",MAX(0,I80-H80))</x:f>
      </x:c>
      <x:c r="K80" s="145"/>
      <x:c r="L80" s="145"/>
      <x:c r="M80" s="145"/>
      <x:c r="N80" s="145"/>
      <x:c r="O80" s="145"/>
      <x:c r="P80" s="209" t="str">
        <x:f>IF(OR(N80="",O80=""),"",MAX(0,N80-O80))</x:f>
      </x:c>
      <x:c r="Q80" s="209" t="str">
        <x:f>IF(L80="","",L80+IF(M80="",0,M80)-IF(N80="",0,N80))</x:f>
      </x:c>
      <x:c r="R80" s="210" t="str">
        <x:f>IF(OR(J80="",J80=0,N80=""),"",N80/J80)</x:f>
      </x:c>
      <x:c r="S80" s="210" t="str">
        <x:f>IF(OR(K80="",K80=0,N80=""),"",N80/K80*1000)</x:f>
      </x:c>
      <x:c r="T80" s="211" t="str">
        <x:f>IF(N80="","",N80*Parameter!$B$4)</x:f>
      </x:c>
      <x:c r="U80" s="212" t="str">
        <x:f>IF(B80="","",IF(OR(J80="",K80=""),"DATA TIDAK LENGKAP",IF(OR(N80&gt;Parameter!$B$5*1.2,R80&gt;Parameter!$B$6*1.2,S80&gt;Parameter!$B$7*1.2,P80&gt;0),"OVER LIMIT",IF(OR(N80&gt;Parameter!$B$5,R80&gt;Parameter!$B$6,S80&gt;Parameter!$B$7),"WARNING","NORMAL"))))</x:f>
      </x:c>
      <x:c r="V80" s="182"/>
      <x:c r="W80" s="188"/>
    </x:row>
    <x:row r="81">
      <x:c r="A81" s="194" t="n">
        <x:f>ROW()-4</x:f>
        <x:v>77</x:v>
      </x:c>
      <x:c r="B81" s="142"/>
      <x:c r="C81" s="143"/>
      <x:c r="D81" s="143"/>
      <x:c r="E81" s="182"/>
      <x:c r="F81" s="182"/>
      <x:c r="G81" s="182"/>
      <x:c r="H81" s="144"/>
      <x:c r="I81" s="144"/>
      <x:c r="J81" s="200" t="str">
        <x:f>IF(OR(H81="",I81=""),"",MAX(0,I81-H81))</x:f>
      </x:c>
      <x:c r="K81" s="145"/>
      <x:c r="L81" s="145"/>
      <x:c r="M81" s="145"/>
      <x:c r="N81" s="145"/>
      <x:c r="O81" s="145"/>
      <x:c r="P81" s="209" t="str">
        <x:f>IF(OR(N81="",O81=""),"",MAX(0,N81-O81))</x:f>
      </x:c>
      <x:c r="Q81" s="209" t="str">
        <x:f>IF(L81="","",L81+IF(M81="",0,M81)-IF(N81="",0,N81))</x:f>
      </x:c>
      <x:c r="R81" s="210" t="str">
        <x:f>IF(OR(J81="",J81=0,N81=""),"",N81/J81)</x:f>
      </x:c>
      <x:c r="S81" s="210" t="str">
        <x:f>IF(OR(K81="",K81=0,N81=""),"",N81/K81*1000)</x:f>
      </x:c>
      <x:c r="T81" s="211" t="str">
        <x:f>IF(N81="","",N81*Parameter!$B$4)</x:f>
      </x:c>
      <x:c r="U81" s="212" t="str">
        <x:f>IF(B81="","",IF(OR(J81="",K81=""),"DATA TIDAK LENGKAP",IF(OR(N81&gt;Parameter!$B$5*1.2,R81&gt;Parameter!$B$6*1.2,S81&gt;Parameter!$B$7*1.2,P81&gt;0),"OVER LIMIT",IF(OR(N81&gt;Parameter!$B$5,R81&gt;Parameter!$B$6,S81&gt;Parameter!$B$7),"WARNING","NORMAL"))))</x:f>
      </x:c>
      <x:c r="V81" s="182"/>
      <x:c r="W81" s="188"/>
    </x:row>
    <x:row r="82">
      <x:c r="A82" s="194" t="n">
        <x:f>ROW()-4</x:f>
        <x:v>78</x:v>
      </x:c>
      <x:c r="B82" s="142"/>
      <x:c r="C82" s="143"/>
      <x:c r="D82" s="143"/>
      <x:c r="E82" s="182"/>
      <x:c r="F82" s="182"/>
      <x:c r="G82" s="182"/>
      <x:c r="H82" s="144"/>
      <x:c r="I82" s="144"/>
      <x:c r="J82" s="200" t="str">
        <x:f>IF(OR(H82="",I82=""),"",MAX(0,I82-H82))</x:f>
      </x:c>
      <x:c r="K82" s="145"/>
      <x:c r="L82" s="145"/>
      <x:c r="M82" s="145"/>
      <x:c r="N82" s="145"/>
      <x:c r="O82" s="145"/>
      <x:c r="P82" s="209" t="str">
        <x:f>IF(OR(N82="",O82=""),"",MAX(0,N82-O82))</x:f>
      </x:c>
      <x:c r="Q82" s="209" t="str">
        <x:f>IF(L82="","",L82+IF(M82="",0,M82)-IF(N82="",0,N82))</x:f>
      </x:c>
      <x:c r="R82" s="210" t="str">
        <x:f>IF(OR(J82="",J82=0,N82=""),"",N82/J82)</x:f>
      </x:c>
      <x:c r="S82" s="210" t="str">
        <x:f>IF(OR(K82="",K82=0,N82=""),"",N82/K82*1000)</x:f>
      </x:c>
      <x:c r="T82" s="211" t="str">
        <x:f>IF(N82="","",N82*Parameter!$B$4)</x:f>
      </x:c>
      <x:c r="U82" s="212" t="str">
        <x:f>IF(B82="","",IF(OR(J82="",K82=""),"DATA TIDAK LENGKAP",IF(OR(N82&gt;Parameter!$B$5*1.2,R82&gt;Parameter!$B$6*1.2,S82&gt;Parameter!$B$7*1.2,P82&gt;0),"OVER LIMIT",IF(OR(N82&gt;Parameter!$B$5,R82&gt;Parameter!$B$6,S82&gt;Parameter!$B$7),"WARNING","NORMAL"))))</x:f>
      </x:c>
      <x:c r="V82" s="182"/>
      <x:c r="W82" s="188"/>
    </x:row>
    <x:row r="83">
      <x:c r="A83" s="194" t="n">
        <x:f>ROW()-4</x:f>
        <x:v>79</x:v>
      </x:c>
      <x:c r="B83" s="142"/>
      <x:c r="C83" s="143"/>
      <x:c r="D83" s="143"/>
      <x:c r="E83" s="182"/>
      <x:c r="F83" s="182"/>
      <x:c r="G83" s="182"/>
      <x:c r="H83" s="144"/>
      <x:c r="I83" s="144"/>
      <x:c r="J83" s="200" t="str">
        <x:f>IF(OR(H83="",I83=""),"",MAX(0,I83-H83))</x:f>
      </x:c>
      <x:c r="K83" s="145"/>
      <x:c r="L83" s="145"/>
      <x:c r="M83" s="145"/>
      <x:c r="N83" s="145"/>
      <x:c r="O83" s="145"/>
      <x:c r="P83" s="209" t="str">
        <x:f>IF(OR(N83="",O83=""),"",MAX(0,N83-O83))</x:f>
      </x:c>
      <x:c r="Q83" s="209" t="str">
        <x:f>IF(L83="","",L83+IF(M83="",0,M83)-IF(N83="",0,N83))</x:f>
      </x:c>
      <x:c r="R83" s="210" t="str">
        <x:f>IF(OR(J83="",J83=0,N83=""),"",N83/J83)</x:f>
      </x:c>
      <x:c r="S83" s="210" t="str">
        <x:f>IF(OR(K83="",K83=0,N83=""),"",N83/K83*1000)</x:f>
      </x:c>
      <x:c r="T83" s="211" t="str">
        <x:f>IF(N83="","",N83*Parameter!$B$4)</x:f>
      </x:c>
      <x:c r="U83" s="212" t="str">
        <x:f>IF(B83="","",IF(OR(J83="",K83=""),"DATA TIDAK LENGKAP",IF(OR(N83&gt;Parameter!$B$5*1.2,R83&gt;Parameter!$B$6*1.2,S83&gt;Parameter!$B$7*1.2,P83&gt;0),"OVER LIMIT",IF(OR(N83&gt;Parameter!$B$5,R83&gt;Parameter!$B$6,S83&gt;Parameter!$B$7),"WARNING","NORMAL"))))</x:f>
      </x:c>
      <x:c r="V83" s="182"/>
      <x:c r="W83" s="188"/>
    </x:row>
    <x:row r="84">
      <x:c r="A84" s="194" t="n">
        <x:f>ROW()-4</x:f>
        <x:v>80</x:v>
      </x:c>
      <x:c r="B84" s="142"/>
      <x:c r="C84" s="143"/>
      <x:c r="D84" s="143"/>
      <x:c r="E84" s="182"/>
      <x:c r="F84" s="182"/>
      <x:c r="G84" s="182"/>
      <x:c r="H84" s="144"/>
      <x:c r="I84" s="144"/>
      <x:c r="J84" s="200" t="str">
        <x:f>IF(OR(H84="",I84=""),"",MAX(0,I84-H84))</x:f>
      </x:c>
      <x:c r="K84" s="145"/>
      <x:c r="L84" s="145"/>
      <x:c r="M84" s="145"/>
      <x:c r="N84" s="145"/>
      <x:c r="O84" s="145"/>
      <x:c r="P84" s="209" t="str">
        <x:f>IF(OR(N84="",O84=""),"",MAX(0,N84-O84))</x:f>
      </x:c>
      <x:c r="Q84" s="209" t="str">
        <x:f>IF(L84="","",L84+IF(M84="",0,M84)-IF(N84="",0,N84))</x:f>
      </x:c>
      <x:c r="R84" s="210" t="str">
        <x:f>IF(OR(J84="",J84=0,N84=""),"",N84/J84)</x:f>
      </x:c>
      <x:c r="S84" s="210" t="str">
        <x:f>IF(OR(K84="",K84=0,N84=""),"",N84/K84*1000)</x:f>
      </x:c>
      <x:c r="T84" s="211" t="str">
        <x:f>IF(N84="","",N84*Parameter!$B$4)</x:f>
      </x:c>
      <x:c r="U84" s="212" t="str">
        <x:f>IF(B84="","",IF(OR(J84="",K84=""),"DATA TIDAK LENGKAP",IF(OR(N84&gt;Parameter!$B$5*1.2,R84&gt;Parameter!$B$6*1.2,S84&gt;Parameter!$B$7*1.2,P84&gt;0),"OVER LIMIT",IF(OR(N84&gt;Parameter!$B$5,R84&gt;Parameter!$B$6,S84&gt;Parameter!$B$7),"WARNING","NORMAL"))))</x:f>
      </x:c>
      <x:c r="V84" s="182"/>
      <x:c r="W84" s="188"/>
    </x:row>
    <x:row r="85">
      <x:c r="A85" s="194" t="n">
        <x:f>ROW()-4</x:f>
        <x:v>81</x:v>
      </x:c>
      <x:c r="B85" s="142"/>
      <x:c r="C85" s="143"/>
      <x:c r="D85" s="143"/>
      <x:c r="E85" s="182"/>
      <x:c r="F85" s="182"/>
      <x:c r="G85" s="182"/>
      <x:c r="H85" s="144"/>
      <x:c r="I85" s="144"/>
      <x:c r="J85" s="200" t="str">
        <x:f>IF(OR(H85="",I85=""),"",MAX(0,I85-H85))</x:f>
      </x:c>
      <x:c r="K85" s="145"/>
      <x:c r="L85" s="145"/>
      <x:c r="M85" s="145"/>
      <x:c r="N85" s="145"/>
      <x:c r="O85" s="145"/>
      <x:c r="P85" s="209" t="str">
        <x:f>IF(OR(N85="",O85=""),"",MAX(0,N85-O85))</x:f>
      </x:c>
      <x:c r="Q85" s="209" t="str">
        <x:f>IF(L85="","",L85+IF(M85="",0,M85)-IF(N85="",0,N85))</x:f>
      </x:c>
      <x:c r="R85" s="210" t="str">
        <x:f>IF(OR(J85="",J85=0,N85=""),"",N85/J85)</x:f>
      </x:c>
      <x:c r="S85" s="210" t="str">
        <x:f>IF(OR(K85="",K85=0,N85=""),"",N85/K85*1000)</x:f>
      </x:c>
      <x:c r="T85" s="211" t="str">
        <x:f>IF(N85="","",N85*Parameter!$B$4)</x:f>
      </x:c>
      <x:c r="U85" s="212" t="str">
        <x:f>IF(B85="","",IF(OR(J85="",K85=""),"DATA TIDAK LENGKAP",IF(OR(N85&gt;Parameter!$B$5*1.2,R85&gt;Parameter!$B$6*1.2,S85&gt;Parameter!$B$7*1.2,P85&gt;0),"OVER LIMIT",IF(OR(N85&gt;Parameter!$B$5,R85&gt;Parameter!$B$6,S85&gt;Parameter!$B$7),"WARNING","NORMAL"))))</x:f>
      </x:c>
      <x:c r="V85" s="182"/>
      <x:c r="W85" s="188"/>
    </x:row>
    <x:row r="86">
      <x:c r="A86" s="194" t="n">
        <x:f>ROW()-4</x:f>
        <x:v>82</x:v>
      </x:c>
      <x:c r="B86" s="142"/>
      <x:c r="C86" s="143"/>
      <x:c r="D86" s="143"/>
      <x:c r="E86" s="182"/>
      <x:c r="F86" s="182"/>
      <x:c r="G86" s="182"/>
      <x:c r="H86" s="144"/>
      <x:c r="I86" s="144"/>
      <x:c r="J86" s="200" t="str">
        <x:f>IF(OR(H86="",I86=""),"",MAX(0,I86-H86))</x:f>
      </x:c>
      <x:c r="K86" s="145"/>
      <x:c r="L86" s="145"/>
      <x:c r="M86" s="145"/>
      <x:c r="N86" s="145"/>
      <x:c r="O86" s="145"/>
      <x:c r="P86" s="209" t="str">
        <x:f>IF(OR(N86="",O86=""),"",MAX(0,N86-O86))</x:f>
      </x:c>
      <x:c r="Q86" s="209" t="str">
        <x:f>IF(L86="","",L86+IF(M86="",0,M86)-IF(N86="",0,N86))</x:f>
      </x:c>
      <x:c r="R86" s="210" t="str">
        <x:f>IF(OR(J86="",J86=0,N86=""),"",N86/J86)</x:f>
      </x:c>
      <x:c r="S86" s="210" t="str">
        <x:f>IF(OR(K86="",K86=0,N86=""),"",N86/K86*1000)</x:f>
      </x:c>
      <x:c r="T86" s="211" t="str">
        <x:f>IF(N86="","",N86*Parameter!$B$4)</x:f>
      </x:c>
      <x:c r="U86" s="212" t="str">
        <x:f>IF(B86="","",IF(OR(J86="",K86=""),"DATA TIDAK LENGKAP",IF(OR(N86&gt;Parameter!$B$5*1.2,R86&gt;Parameter!$B$6*1.2,S86&gt;Parameter!$B$7*1.2,P86&gt;0),"OVER LIMIT",IF(OR(N86&gt;Parameter!$B$5,R86&gt;Parameter!$B$6,S86&gt;Parameter!$B$7),"WARNING","NORMAL"))))</x:f>
      </x:c>
      <x:c r="V86" s="182"/>
      <x:c r="W86" s="188"/>
    </x:row>
    <x:row r="87">
      <x:c r="A87" s="194" t="n">
        <x:f>ROW()-4</x:f>
        <x:v>83</x:v>
      </x:c>
      <x:c r="B87" s="142"/>
      <x:c r="C87" s="143"/>
      <x:c r="D87" s="143"/>
      <x:c r="E87" s="182"/>
      <x:c r="F87" s="182"/>
      <x:c r="G87" s="182"/>
      <x:c r="H87" s="144"/>
      <x:c r="I87" s="144"/>
      <x:c r="J87" s="200" t="str">
        <x:f>IF(OR(H87="",I87=""),"",MAX(0,I87-H87))</x:f>
      </x:c>
      <x:c r="K87" s="145"/>
      <x:c r="L87" s="145"/>
      <x:c r="M87" s="145"/>
      <x:c r="N87" s="145"/>
      <x:c r="O87" s="145"/>
      <x:c r="P87" s="209" t="str">
        <x:f>IF(OR(N87="",O87=""),"",MAX(0,N87-O87))</x:f>
      </x:c>
      <x:c r="Q87" s="209" t="str">
        <x:f>IF(L87="","",L87+IF(M87="",0,M87)-IF(N87="",0,N87))</x:f>
      </x:c>
      <x:c r="R87" s="210" t="str">
        <x:f>IF(OR(J87="",J87=0,N87=""),"",N87/J87)</x:f>
      </x:c>
      <x:c r="S87" s="210" t="str">
        <x:f>IF(OR(K87="",K87=0,N87=""),"",N87/K87*1000)</x:f>
      </x:c>
      <x:c r="T87" s="211" t="str">
        <x:f>IF(N87="","",N87*Parameter!$B$4)</x:f>
      </x:c>
      <x:c r="U87" s="212" t="str">
        <x:f>IF(B87="","",IF(OR(J87="",K87=""),"DATA TIDAK LENGKAP",IF(OR(N87&gt;Parameter!$B$5*1.2,R87&gt;Parameter!$B$6*1.2,S87&gt;Parameter!$B$7*1.2,P87&gt;0),"OVER LIMIT",IF(OR(N87&gt;Parameter!$B$5,R87&gt;Parameter!$B$6,S87&gt;Parameter!$B$7),"WARNING","NORMAL"))))</x:f>
      </x:c>
      <x:c r="V87" s="182"/>
      <x:c r="W87" s="188"/>
    </x:row>
    <x:row r="88">
      <x:c r="A88" s="194" t="n">
        <x:f>ROW()-4</x:f>
        <x:v>84</x:v>
      </x:c>
      <x:c r="B88" s="142"/>
      <x:c r="C88" s="143"/>
      <x:c r="D88" s="143"/>
      <x:c r="E88" s="182"/>
      <x:c r="F88" s="182"/>
      <x:c r="G88" s="182"/>
      <x:c r="H88" s="144"/>
      <x:c r="I88" s="144"/>
      <x:c r="J88" s="200" t="str">
        <x:f>IF(OR(H88="",I88=""),"",MAX(0,I88-H88))</x:f>
      </x:c>
      <x:c r="K88" s="145"/>
      <x:c r="L88" s="145"/>
      <x:c r="M88" s="145"/>
      <x:c r="N88" s="145"/>
      <x:c r="O88" s="145"/>
      <x:c r="P88" s="209" t="str">
        <x:f>IF(OR(N88="",O88=""),"",MAX(0,N88-O88))</x:f>
      </x:c>
      <x:c r="Q88" s="209" t="str">
        <x:f>IF(L88="","",L88+IF(M88="",0,M88)-IF(N88="",0,N88))</x:f>
      </x:c>
      <x:c r="R88" s="210" t="str">
        <x:f>IF(OR(J88="",J88=0,N88=""),"",N88/J88)</x:f>
      </x:c>
      <x:c r="S88" s="210" t="str">
        <x:f>IF(OR(K88="",K88=0,N88=""),"",N88/K88*1000)</x:f>
      </x:c>
      <x:c r="T88" s="211" t="str">
        <x:f>IF(N88="","",N88*Parameter!$B$4)</x:f>
      </x:c>
      <x:c r="U88" s="212" t="str">
        <x:f>IF(B88="","",IF(OR(J88="",K88=""),"DATA TIDAK LENGKAP",IF(OR(N88&gt;Parameter!$B$5*1.2,R88&gt;Parameter!$B$6*1.2,S88&gt;Parameter!$B$7*1.2,P88&gt;0),"OVER LIMIT",IF(OR(N88&gt;Parameter!$B$5,R88&gt;Parameter!$B$6,S88&gt;Parameter!$B$7),"WARNING","NORMAL"))))</x:f>
      </x:c>
      <x:c r="V88" s="182"/>
      <x:c r="W88" s="188"/>
    </x:row>
    <x:row r="89">
      <x:c r="A89" s="194" t="n">
        <x:f>ROW()-4</x:f>
        <x:v>85</x:v>
      </x:c>
      <x:c r="B89" s="142"/>
      <x:c r="C89" s="143"/>
      <x:c r="D89" s="143"/>
      <x:c r="E89" s="182"/>
      <x:c r="F89" s="182"/>
      <x:c r="G89" s="182"/>
      <x:c r="H89" s="144"/>
      <x:c r="I89" s="144"/>
      <x:c r="J89" s="200" t="str">
        <x:f>IF(OR(H89="",I89=""),"",MAX(0,I89-H89))</x:f>
      </x:c>
      <x:c r="K89" s="145"/>
      <x:c r="L89" s="145"/>
      <x:c r="M89" s="145"/>
      <x:c r="N89" s="145"/>
      <x:c r="O89" s="145"/>
      <x:c r="P89" s="209" t="str">
        <x:f>IF(OR(N89="",O89=""),"",MAX(0,N89-O89))</x:f>
      </x:c>
      <x:c r="Q89" s="209" t="str">
        <x:f>IF(L89="","",L89+IF(M89="",0,M89)-IF(N89="",0,N89))</x:f>
      </x:c>
      <x:c r="R89" s="210" t="str">
        <x:f>IF(OR(J89="",J89=0,N89=""),"",N89/J89)</x:f>
      </x:c>
      <x:c r="S89" s="210" t="str">
        <x:f>IF(OR(K89="",K89=0,N89=""),"",N89/K89*1000)</x:f>
      </x:c>
      <x:c r="T89" s="211" t="str">
        <x:f>IF(N89="","",N89*Parameter!$B$4)</x:f>
      </x:c>
      <x:c r="U89" s="212" t="str">
        <x:f>IF(B89="","",IF(OR(J89="",K89=""),"DATA TIDAK LENGKAP",IF(OR(N89&gt;Parameter!$B$5*1.2,R89&gt;Parameter!$B$6*1.2,S89&gt;Parameter!$B$7*1.2,P89&gt;0),"OVER LIMIT",IF(OR(N89&gt;Parameter!$B$5,R89&gt;Parameter!$B$6,S89&gt;Parameter!$B$7),"WARNING","NORMAL"))))</x:f>
      </x:c>
      <x:c r="V89" s="182"/>
      <x:c r="W89" s="188"/>
    </x:row>
    <x:row r="90">
      <x:c r="A90" s="194" t="n">
        <x:f>ROW()-4</x:f>
        <x:v>86</x:v>
      </x:c>
      <x:c r="B90" s="142"/>
      <x:c r="C90" s="143"/>
      <x:c r="D90" s="143"/>
      <x:c r="E90" s="182"/>
      <x:c r="F90" s="182"/>
      <x:c r="G90" s="182"/>
      <x:c r="H90" s="144"/>
      <x:c r="I90" s="144"/>
      <x:c r="J90" s="200" t="str">
        <x:f>IF(OR(H90="",I90=""),"",MAX(0,I90-H90))</x:f>
      </x:c>
      <x:c r="K90" s="145"/>
      <x:c r="L90" s="145"/>
      <x:c r="M90" s="145"/>
      <x:c r="N90" s="145"/>
      <x:c r="O90" s="145"/>
      <x:c r="P90" s="209" t="str">
        <x:f>IF(OR(N90="",O90=""),"",MAX(0,N90-O90))</x:f>
      </x:c>
      <x:c r="Q90" s="209" t="str">
        <x:f>IF(L90="","",L90+IF(M90="",0,M90)-IF(N90="",0,N90))</x:f>
      </x:c>
      <x:c r="R90" s="210" t="str">
        <x:f>IF(OR(J90="",J90=0,N90=""),"",N90/J90)</x:f>
      </x:c>
      <x:c r="S90" s="210" t="str">
        <x:f>IF(OR(K90="",K90=0,N90=""),"",N90/K90*1000)</x:f>
      </x:c>
      <x:c r="T90" s="211" t="str">
        <x:f>IF(N90="","",N90*Parameter!$B$4)</x:f>
      </x:c>
      <x:c r="U90" s="212" t="str">
        <x:f>IF(B90="","",IF(OR(J90="",K90=""),"DATA TIDAK LENGKAP",IF(OR(N90&gt;Parameter!$B$5*1.2,R90&gt;Parameter!$B$6*1.2,S90&gt;Parameter!$B$7*1.2,P90&gt;0),"OVER LIMIT",IF(OR(N90&gt;Parameter!$B$5,R90&gt;Parameter!$B$6,S90&gt;Parameter!$B$7),"WARNING","NORMAL"))))</x:f>
      </x:c>
      <x:c r="V90" s="182"/>
      <x:c r="W90" s="188"/>
    </x:row>
    <x:row r="91">
      <x:c r="A91" s="194" t="n">
        <x:f>ROW()-4</x:f>
        <x:v>87</x:v>
      </x:c>
      <x:c r="B91" s="142"/>
      <x:c r="C91" s="143"/>
      <x:c r="D91" s="143"/>
      <x:c r="E91" s="182"/>
      <x:c r="F91" s="182"/>
      <x:c r="G91" s="182"/>
      <x:c r="H91" s="144"/>
      <x:c r="I91" s="144"/>
      <x:c r="J91" s="200" t="str">
        <x:f>IF(OR(H91="",I91=""),"",MAX(0,I91-H91))</x:f>
      </x:c>
      <x:c r="K91" s="145"/>
      <x:c r="L91" s="145"/>
      <x:c r="M91" s="145"/>
      <x:c r="N91" s="145"/>
      <x:c r="O91" s="145"/>
      <x:c r="P91" s="209" t="str">
        <x:f>IF(OR(N91="",O91=""),"",MAX(0,N91-O91))</x:f>
      </x:c>
      <x:c r="Q91" s="209" t="str">
        <x:f>IF(L91="","",L91+IF(M91="",0,M91)-IF(N91="",0,N91))</x:f>
      </x:c>
      <x:c r="R91" s="210" t="str">
        <x:f>IF(OR(J91="",J91=0,N91=""),"",N91/J91)</x:f>
      </x:c>
      <x:c r="S91" s="210" t="str">
        <x:f>IF(OR(K91="",K91=0,N91=""),"",N91/K91*1000)</x:f>
      </x:c>
      <x:c r="T91" s="211" t="str">
        <x:f>IF(N91="","",N91*Parameter!$B$4)</x:f>
      </x:c>
      <x:c r="U91" s="212" t="str">
        <x:f>IF(B91="","",IF(OR(J91="",K91=""),"DATA TIDAK LENGKAP",IF(OR(N91&gt;Parameter!$B$5*1.2,R91&gt;Parameter!$B$6*1.2,S91&gt;Parameter!$B$7*1.2,P91&gt;0),"OVER LIMIT",IF(OR(N91&gt;Parameter!$B$5,R91&gt;Parameter!$B$6,S91&gt;Parameter!$B$7),"WARNING","NORMAL"))))</x:f>
      </x:c>
      <x:c r="V91" s="182"/>
      <x:c r="W91" s="188"/>
    </x:row>
    <x:row r="92">
      <x:c r="A92" s="194" t="n">
        <x:f>ROW()-4</x:f>
        <x:v>88</x:v>
      </x:c>
      <x:c r="B92" s="142"/>
      <x:c r="C92" s="143"/>
      <x:c r="D92" s="143"/>
      <x:c r="E92" s="182"/>
      <x:c r="F92" s="182"/>
      <x:c r="G92" s="182"/>
      <x:c r="H92" s="144"/>
      <x:c r="I92" s="144"/>
      <x:c r="J92" s="200" t="str">
        <x:f>IF(OR(H92="",I92=""),"",MAX(0,I92-H92))</x:f>
      </x:c>
      <x:c r="K92" s="145"/>
      <x:c r="L92" s="145"/>
      <x:c r="M92" s="145"/>
      <x:c r="N92" s="145"/>
      <x:c r="O92" s="145"/>
      <x:c r="P92" s="209" t="str">
        <x:f>IF(OR(N92="",O92=""),"",MAX(0,N92-O92))</x:f>
      </x:c>
      <x:c r="Q92" s="209" t="str">
        <x:f>IF(L92="","",L92+IF(M92="",0,M92)-IF(N92="",0,N92))</x:f>
      </x:c>
      <x:c r="R92" s="210" t="str">
        <x:f>IF(OR(J92="",J92=0,N92=""),"",N92/J92)</x:f>
      </x:c>
      <x:c r="S92" s="210" t="str">
        <x:f>IF(OR(K92="",K92=0,N92=""),"",N92/K92*1000)</x:f>
      </x:c>
      <x:c r="T92" s="211" t="str">
        <x:f>IF(N92="","",N92*Parameter!$B$4)</x:f>
      </x:c>
      <x:c r="U92" s="212" t="str">
        <x:f>IF(B92="","",IF(OR(J92="",K92=""),"DATA TIDAK LENGKAP",IF(OR(N92&gt;Parameter!$B$5*1.2,R92&gt;Parameter!$B$6*1.2,S92&gt;Parameter!$B$7*1.2,P92&gt;0),"OVER LIMIT",IF(OR(N92&gt;Parameter!$B$5,R92&gt;Parameter!$B$6,S92&gt;Parameter!$B$7),"WARNING","NORMAL"))))</x:f>
      </x:c>
      <x:c r="V92" s="182"/>
      <x:c r="W92" s="188"/>
    </x:row>
    <x:row r="93">
      <x:c r="A93" s="194" t="n">
        <x:f>ROW()-4</x:f>
        <x:v>89</x:v>
      </x:c>
      <x:c r="B93" s="142"/>
      <x:c r="C93" s="143"/>
      <x:c r="D93" s="143"/>
      <x:c r="E93" s="182"/>
      <x:c r="F93" s="182"/>
      <x:c r="G93" s="182"/>
      <x:c r="H93" s="144"/>
      <x:c r="I93" s="144"/>
      <x:c r="J93" s="200" t="str">
        <x:f>IF(OR(H93="",I93=""),"",MAX(0,I93-H93))</x:f>
      </x:c>
      <x:c r="K93" s="145"/>
      <x:c r="L93" s="145"/>
      <x:c r="M93" s="145"/>
      <x:c r="N93" s="145"/>
      <x:c r="O93" s="145"/>
      <x:c r="P93" s="209" t="str">
        <x:f>IF(OR(N93="",O93=""),"",MAX(0,N93-O93))</x:f>
      </x:c>
      <x:c r="Q93" s="209" t="str">
        <x:f>IF(L93="","",L93+IF(M93="",0,M93)-IF(N93="",0,N93))</x:f>
      </x:c>
      <x:c r="R93" s="210" t="str">
        <x:f>IF(OR(J93="",J93=0,N93=""),"",N93/J93)</x:f>
      </x:c>
      <x:c r="S93" s="210" t="str">
        <x:f>IF(OR(K93="",K93=0,N93=""),"",N93/K93*1000)</x:f>
      </x:c>
      <x:c r="T93" s="211" t="str">
        <x:f>IF(N93="","",N93*Parameter!$B$4)</x:f>
      </x:c>
      <x:c r="U93" s="212" t="str">
        <x:f>IF(B93="","",IF(OR(J93="",K93=""),"DATA TIDAK LENGKAP",IF(OR(N93&gt;Parameter!$B$5*1.2,R93&gt;Parameter!$B$6*1.2,S93&gt;Parameter!$B$7*1.2,P93&gt;0),"OVER LIMIT",IF(OR(N93&gt;Parameter!$B$5,R93&gt;Parameter!$B$6,S93&gt;Parameter!$B$7),"WARNING","NORMAL"))))</x:f>
      </x:c>
      <x:c r="V93" s="182"/>
      <x:c r="W93" s="188"/>
    </x:row>
    <x:row r="94">
      <x:c r="A94" s="194" t="n">
        <x:f>ROW()-4</x:f>
        <x:v>90</x:v>
      </x:c>
      <x:c r="B94" s="142"/>
      <x:c r="C94" s="143"/>
      <x:c r="D94" s="143"/>
      <x:c r="E94" s="182"/>
      <x:c r="F94" s="182"/>
      <x:c r="G94" s="182"/>
      <x:c r="H94" s="144"/>
      <x:c r="I94" s="144"/>
      <x:c r="J94" s="200" t="str">
        <x:f>IF(OR(H94="",I94=""),"",MAX(0,I94-H94))</x:f>
      </x:c>
      <x:c r="K94" s="145"/>
      <x:c r="L94" s="145"/>
      <x:c r="M94" s="145"/>
      <x:c r="N94" s="145"/>
      <x:c r="O94" s="145"/>
      <x:c r="P94" s="209" t="str">
        <x:f>IF(OR(N94="",O94=""),"",MAX(0,N94-O94))</x:f>
      </x:c>
      <x:c r="Q94" s="209" t="str">
        <x:f>IF(L94="","",L94+IF(M94="",0,M94)-IF(N94="",0,N94))</x:f>
      </x:c>
      <x:c r="R94" s="210" t="str">
        <x:f>IF(OR(J94="",J94=0,N94=""),"",N94/J94)</x:f>
      </x:c>
      <x:c r="S94" s="210" t="str">
        <x:f>IF(OR(K94="",K94=0,N94=""),"",N94/K94*1000)</x:f>
      </x:c>
      <x:c r="T94" s="211" t="str">
        <x:f>IF(N94="","",N94*Parameter!$B$4)</x:f>
      </x:c>
      <x:c r="U94" s="212" t="str">
        <x:f>IF(B94="","",IF(OR(J94="",K94=""),"DATA TIDAK LENGKAP",IF(OR(N94&gt;Parameter!$B$5*1.2,R94&gt;Parameter!$B$6*1.2,S94&gt;Parameter!$B$7*1.2,P94&gt;0),"OVER LIMIT",IF(OR(N94&gt;Parameter!$B$5,R94&gt;Parameter!$B$6,S94&gt;Parameter!$B$7),"WARNING","NORMAL"))))</x:f>
      </x:c>
      <x:c r="V94" s="182"/>
      <x:c r="W94" s="188"/>
    </x:row>
    <x:row r="95">
      <x:c r="A95" s="194" t="n">
        <x:f>ROW()-4</x:f>
        <x:v>91</x:v>
      </x:c>
      <x:c r="B95" s="142"/>
      <x:c r="C95" s="143"/>
      <x:c r="D95" s="143"/>
      <x:c r="E95" s="182"/>
      <x:c r="F95" s="182"/>
      <x:c r="G95" s="182"/>
      <x:c r="H95" s="144"/>
      <x:c r="I95" s="144"/>
      <x:c r="J95" s="200" t="str">
        <x:f>IF(OR(H95="",I95=""),"",MAX(0,I95-H95))</x:f>
      </x:c>
      <x:c r="K95" s="145"/>
      <x:c r="L95" s="145"/>
      <x:c r="M95" s="145"/>
      <x:c r="N95" s="145"/>
      <x:c r="O95" s="145"/>
      <x:c r="P95" s="209" t="str">
        <x:f>IF(OR(N95="",O95=""),"",MAX(0,N95-O95))</x:f>
      </x:c>
      <x:c r="Q95" s="209" t="str">
        <x:f>IF(L95="","",L95+IF(M95="",0,M95)-IF(N95="",0,N95))</x:f>
      </x:c>
      <x:c r="R95" s="210" t="str">
        <x:f>IF(OR(J95="",J95=0,N95=""),"",N95/J95)</x:f>
      </x:c>
      <x:c r="S95" s="210" t="str">
        <x:f>IF(OR(K95="",K95=0,N95=""),"",N95/K95*1000)</x:f>
      </x:c>
      <x:c r="T95" s="211" t="str">
        <x:f>IF(N95="","",N95*Parameter!$B$4)</x:f>
      </x:c>
      <x:c r="U95" s="212" t="str">
        <x:f>IF(B95="","",IF(OR(J95="",K95=""),"DATA TIDAK LENGKAP",IF(OR(N95&gt;Parameter!$B$5*1.2,R95&gt;Parameter!$B$6*1.2,S95&gt;Parameter!$B$7*1.2,P95&gt;0),"OVER LIMIT",IF(OR(N95&gt;Parameter!$B$5,R95&gt;Parameter!$B$6,S95&gt;Parameter!$B$7),"WARNING","NORMAL"))))</x:f>
      </x:c>
      <x:c r="V95" s="182"/>
      <x:c r="W95" s="188"/>
    </x:row>
    <x:row r="96">
      <x:c r="A96" s="194" t="n">
        <x:f>ROW()-4</x:f>
        <x:v>92</x:v>
      </x:c>
      <x:c r="B96" s="142"/>
      <x:c r="C96" s="143"/>
      <x:c r="D96" s="143"/>
      <x:c r="E96" s="182"/>
      <x:c r="F96" s="182"/>
      <x:c r="G96" s="182"/>
      <x:c r="H96" s="144"/>
      <x:c r="I96" s="144"/>
      <x:c r="J96" s="200" t="str">
        <x:f>IF(OR(H96="",I96=""),"",MAX(0,I96-H96))</x:f>
      </x:c>
      <x:c r="K96" s="145"/>
      <x:c r="L96" s="145"/>
      <x:c r="M96" s="145"/>
      <x:c r="N96" s="145"/>
      <x:c r="O96" s="145"/>
      <x:c r="P96" s="209" t="str">
        <x:f>IF(OR(N96="",O96=""),"",MAX(0,N96-O96))</x:f>
      </x:c>
      <x:c r="Q96" s="209" t="str">
        <x:f>IF(L96="","",L96+IF(M96="",0,M96)-IF(N96="",0,N96))</x:f>
      </x:c>
      <x:c r="R96" s="210" t="str">
        <x:f>IF(OR(J96="",J96=0,N96=""),"",N96/J96)</x:f>
      </x:c>
      <x:c r="S96" s="210" t="str">
        <x:f>IF(OR(K96="",K96=0,N96=""),"",N96/K96*1000)</x:f>
      </x:c>
      <x:c r="T96" s="211" t="str">
        <x:f>IF(N96="","",N96*Parameter!$B$4)</x:f>
      </x:c>
      <x:c r="U96" s="212" t="str">
        <x:f>IF(B96="","",IF(OR(J96="",K96=""),"DATA TIDAK LENGKAP",IF(OR(N96&gt;Parameter!$B$5*1.2,R96&gt;Parameter!$B$6*1.2,S96&gt;Parameter!$B$7*1.2,P96&gt;0),"OVER LIMIT",IF(OR(N96&gt;Parameter!$B$5,R96&gt;Parameter!$B$6,S96&gt;Parameter!$B$7),"WARNING","NORMAL"))))</x:f>
      </x:c>
      <x:c r="V96" s="182"/>
      <x:c r="W96" s="188"/>
    </x:row>
    <x:row r="97">
      <x:c r="A97" s="194" t="n">
        <x:f>ROW()-4</x:f>
        <x:v>93</x:v>
      </x:c>
      <x:c r="B97" s="142"/>
      <x:c r="C97" s="143"/>
      <x:c r="D97" s="143"/>
      <x:c r="E97" s="182"/>
      <x:c r="F97" s="182"/>
      <x:c r="G97" s="182"/>
      <x:c r="H97" s="144"/>
      <x:c r="I97" s="144"/>
      <x:c r="J97" s="200" t="str">
        <x:f>IF(OR(H97="",I97=""),"",MAX(0,I97-H97))</x:f>
      </x:c>
      <x:c r="K97" s="145"/>
      <x:c r="L97" s="145"/>
      <x:c r="M97" s="145"/>
      <x:c r="N97" s="145"/>
      <x:c r="O97" s="145"/>
      <x:c r="P97" s="209" t="str">
        <x:f>IF(OR(N97="",O97=""),"",MAX(0,N97-O97))</x:f>
      </x:c>
      <x:c r="Q97" s="209" t="str">
        <x:f>IF(L97="","",L97+IF(M97="",0,M97)-IF(N97="",0,N97))</x:f>
      </x:c>
      <x:c r="R97" s="210" t="str">
        <x:f>IF(OR(J97="",J97=0,N97=""),"",N97/J97)</x:f>
      </x:c>
      <x:c r="S97" s="210" t="str">
        <x:f>IF(OR(K97="",K97=0,N97=""),"",N97/K97*1000)</x:f>
      </x:c>
      <x:c r="T97" s="211" t="str">
        <x:f>IF(N97="","",N97*Parameter!$B$4)</x:f>
      </x:c>
      <x:c r="U97" s="212" t="str">
        <x:f>IF(B97="","",IF(OR(J97="",K97=""),"DATA TIDAK LENGKAP",IF(OR(N97&gt;Parameter!$B$5*1.2,R97&gt;Parameter!$B$6*1.2,S97&gt;Parameter!$B$7*1.2,P97&gt;0),"OVER LIMIT",IF(OR(N97&gt;Parameter!$B$5,R97&gt;Parameter!$B$6,S97&gt;Parameter!$B$7),"WARNING","NORMAL"))))</x:f>
      </x:c>
      <x:c r="V97" s="182"/>
      <x:c r="W97" s="188"/>
    </x:row>
    <x:row r="98">
      <x:c r="A98" s="194" t="n">
        <x:f>ROW()-4</x:f>
        <x:v>94</x:v>
      </x:c>
      <x:c r="B98" s="142"/>
      <x:c r="C98" s="143"/>
      <x:c r="D98" s="143"/>
      <x:c r="E98" s="182"/>
      <x:c r="F98" s="182"/>
      <x:c r="G98" s="182"/>
      <x:c r="H98" s="144"/>
      <x:c r="I98" s="144"/>
      <x:c r="J98" s="200" t="str">
        <x:f>IF(OR(H98="",I98=""),"",MAX(0,I98-H98))</x:f>
      </x:c>
      <x:c r="K98" s="145"/>
      <x:c r="L98" s="145"/>
      <x:c r="M98" s="145"/>
      <x:c r="N98" s="145"/>
      <x:c r="O98" s="145"/>
      <x:c r="P98" s="209" t="str">
        <x:f>IF(OR(N98="",O98=""),"",MAX(0,N98-O98))</x:f>
      </x:c>
      <x:c r="Q98" s="209" t="str">
        <x:f>IF(L98="","",L98+IF(M98="",0,M98)-IF(N98="",0,N98))</x:f>
      </x:c>
      <x:c r="R98" s="210" t="str">
        <x:f>IF(OR(J98="",J98=0,N98=""),"",N98/J98)</x:f>
      </x:c>
      <x:c r="S98" s="210" t="str">
        <x:f>IF(OR(K98="",K98=0,N98=""),"",N98/K98*1000)</x:f>
      </x:c>
      <x:c r="T98" s="211" t="str">
        <x:f>IF(N98="","",N98*Parameter!$B$4)</x:f>
      </x:c>
      <x:c r="U98" s="212" t="str">
        <x:f>IF(B98="","",IF(OR(J98="",K98=""),"DATA TIDAK LENGKAP",IF(OR(N98&gt;Parameter!$B$5*1.2,R98&gt;Parameter!$B$6*1.2,S98&gt;Parameter!$B$7*1.2,P98&gt;0),"OVER LIMIT",IF(OR(N98&gt;Parameter!$B$5,R98&gt;Parameter!$B$6,S98&gt;Parameter!$B$7),"WARNING","NORMAL"))))</x:f>
      </x:c>
      <x:c r="V98" s="182"/>
      <x:c r="W98" s="188"/>
    </x:row>
    <x:row r="99">
      <x:c r="A99" s="194" t="n">
        <x:f>ROW()-4</x:f>
        <x:v>95</x:v>
      </x:c>
      <x:c r="B99" s="142"/>
      <x:c r="C99" s="143"/>
      <x:c r="D99" s="143"/>
      <x:c r="E99" s="182"/>
      <x:c r="F99" s="182"/>
      <x:c r="G99" s="182"/>
      <x:c r="H99" s="144"/>
      <x:c r="I99" s="144"/>
      <x:c r="J99" s="200" t="str">
        <x:f>IF(OR(H99="",I99=""),"",MAX(0,I99-H99))</x:f>
      </x:c>
      <x:c r="K99" s="145"/>
      <x:c r="L99" s="145"/>
      <x:c r="M99" s="145"/>
      <x:c r="N99" s="145"/>
      <x:c r="O99" s="145"/>
      <x:c r="P99" s="209" t="str">
        <x:f>IF(OR(N99="",O99=""),"",MAX(0,N99-O99))</x:f>
      </x:c>
      <x:c r="Q99" s="209" t="str">
        <x:f>IF(L99="","",L99+IF(M99="",0,M99)-IF(N99="",0,N99))</x:f>
      </x:c>
      <x:c r="R99" s="210" t="str">
        <x:f>IF(OR(J99="",J99=0,N99=""),"",N99/J99)</x:f>
      </x:c>
      <x:c r="S99" s="210" t="str">
        <x:f>IF(OR(K99="",K99=0,N99=""),"",N99/K99*1000)</x:f>
      </x:c>
      <x:c r="T99" s="211" t="str">
        <x:f>IF(N99="","",N99*Parameter!$B$4)</x:f>
      </x:c>
      <x:c r="U99" s="212" t="str">
        <x:f>IF(B99="","",IF(OR(J99="",K99=""),"DATA TIDAK LENGKAP",IF(OR(N99&gt;Parameter!$B$5*1.2,R99&gt;Parameter!$B$6*1.2,S99&gt;Parameter!$B$7*1.2,P99&gt;0),"OVER LIMIT",IF(OR(N99&gt;Parameter!$B$5,R99&gt;Parameter!$B$6,S99&gt;Parameter!$B$7),"WARNING","NORMAL"))))</x:f>
      </x:c>
      <x:c r="V99" s="182"/>
      <x:c r="W99" s="188"/>
    </x:row>
    <x:row r="100">
      <x:c r="A100" s="194" t="n">
        <x:f>ROW()-4</x:f>
        <x:v>96</x:v>
      </x:c>
      <x:c r="B100" s="142"/>
      <x:c r="C100" s="143"/>
      <x:c r="D100" s="143"/>
      <x:c r="E100" s="182"/>
      <x:c r="F100" s="182"/>
      <x:c r="G100" s="182"/>
      <x:c r="H100" s="144"/>
      <x:c r="I100" s="144"/>
      <x:c r="J100" s="200" t="str">
        <x:f>IF(OR(H100="",I100=""),"",MAX(0,I100-H100))</x:f>
      </x:c>
      <x:c r="K100" s="145"/>
      <x:c r="L100" s="145"/>
      <x:c r="M100" s="145"/>
      <x:c r="N100" s="145"/>
      <x:c r="O100" s="145"/>
      <x:c r="P100" s="209" t="str">
        <x:f>IF(OR(N100="",O100=""),"",MAX(0,N100-O100))</x:f>
      </x:c>
      <x:c r="Q100" s="209" t="str">
        <x:f>IF(L100="","",L100+IF(M100="",0,M100)-IF(N100="",0,N100))</x:f>
      </x:c>
      <x:c r="R100" s="210" t="str">
        <x:f>IF(OR(J100="",J100=0,N100=""),"",N100/J100)</x:f>
      </x:c>
      <x:c r="S100" s="210" t="str">
        <x:f>IF(OR(K100="",K100=0,N100=""),"",N100/K100*1000)</x:f>
      </x:c>
      <x:c r="T100" s="211" t="str">
        <x:f>IF(N100="","",N100*Parameter!$B$4)</x:f>
      </x:c>
      <x:c r="U100" s="212" t="str">
        <x:f>IF(B100="","",IF(OR(J100="",K100=""),"DATA TIDAK LENGKAP",IF(OR(N100&gt;Parameter!$B$5*1.2,R100&gt;Parameter!$B$6*1.2,S100&gt;Parameter!$B$7*1.2,P100&gt;0),"OVER LIMIT",IF(OR(N100&gt;Parameter!$B$5,R100&gt;Parameter!$B$6,S100&gt;Parameter!$B$7),"WARNING","NORMAL"))))</x:f>
      </x:c>
      <x:c r="V100" s="182"/>
      <x:c r="W100" s="188"/>
    </x:row>
    <x:row r="101">
      <x:c r="A101" s="194" t="n">
        <x:f>ROW()-4</x:f>
        <x:v>97</x:v>
      </x:c>
      <x:c r="B101" s="142"/>
      <x:c r="C101" s="143"/>
      <x:c r="D101" s="143"/>
      <x:c r="E101" s="182"/>
      <x:c r="F101" s="182"/>
      <x:c r="G101" s="182"/>
      <x:c r="H101" s="144"/>
      <x:c r="I101" s="144"/>
      <x:c r="J101" s="200" t="str">
        <x:f>IF(OR(H101="",I101=""),"",MAX(0,I101-H101))</x:f>
      </x:c>
      <x:c r="K101" s="145"/>
      <x:c r="L101" s="145"/>
      <x:c r="M101" s="145"/>
      <x:c r="N101" s="145"/>
      <x:c r="O101" s="145"/>
      <x:c r="P101" s="209" t="str">
        <x:f>IF(OR(N101="",O101=""),"",MAX(0,N101-O101))</x:f>
      </x:c>
      <x:c r="Q101" s="209" t="str">
        <x:f>IF(L101="","",L101+IF(M101="",0,M101)-IF(N101="",0,N101))</x:f>
      </x:c>
      <x:c r="R101" s="210" t="str">
        <x:f>IF(OR(J101="",J101=0,N101=""),"",N101/J101)</x:f>
      </x:c>
      <x:c r="S101" s="210" t="str">
        <x:f>IF(OR(K101="",K101=0,N101=""),"",N101/K101*1000)</x:f>
      </x:c>
      <x:c r="T101" s="211" t="str">
        <x:f>IF(N101="","",N101*Parameter!$B$4)</x:f>
      </x:c>
      <x:c r="U101" s="212" t="str">
        <x:f>IF(B101="","",IF(OR(J101="",K101=""),"DATA TIDAK LENGKAP",IF(OR(N101&gt;Parameter!$B$5*1.2,R101&gt;Parameter!$B$6*1.2,S101&gt;Parameter!$B$7*1.2,P101&gt;0),"OVER LIMIT",IF(OR(N101&gt;Parameter!$B$5,R101&gt;Parameter!$B$6,S101&gt;Parameter!$B$7),"WARNING","NORMAL"))))</x:f>
      </x:c>
      <x:c r="V101" s="182"/>
      <x:c r="W101" s="188"/>
    </x:row>
    <x:row r="102">
      <x:c r="A102" s="194" t="n">
        <x:f>ROW()-4</x:f>
        <x:v>98</x:v>
      </x:c>
      <x:c r="B102" s="142"/>
      <x:c r="C102" s="143"/>
      <x:c r="D102" s="143"/>
      <x:c r="E102" s="182"/>
      <x:c r="F102" s="182"/>
      <x:c r="G102" s="182"/>
      <x:c r="H102" s="144"/>
      <x:c r="I102" s="144"/>
      <x:c r="J102" s="200" t="str">
        <x:f>IF(OR(H102="",I102=""),"",MAX(0,I102-H102))</x:f>
      </x:c>
      <x:c r="K102" s="145"/>
      <x:c r="L102" s="145"/>
      <x:c r="M102" s="145"/>
      <x:c r="N102" s="145"/>
      <x:c r="O102" s="145"/>
      <x:c r="P102" s="209" t="str">
        <x:f>IF(OR(N102="",O102=""),"",MAX(0,N102-O102))</x:f>
      </x:c>
      <x:c r="Q102" s="209" t="str">
        <x:f>IF(L102="","",L102+IF(M102="",0,M102)-IF(N102="",0,N102))</x:f>
      </x:c>
      <x:c r="R102" s="210" t="str">
        <x:f>IF(OR(J102="",J102=0,N102=""),"",N102/J102)</x:f>
      </x:c>
      <x:c r="S102" s="210" t="str">
        <x:f>IF(OR(K102="",K102=0,N102=""),"",N102/K102*1000)</x:f>
      </x:c>
      <x:c r="T102" s="211" t="str">
        <x:f>IF(N102="","",N102*Parameter!$B$4)</x:f>
      </x:c>
      <x:c r="U102" s="212" t="str">
        <x:f>IF(B102="","",IF(OR(J102="",K102=""),"DATA TIDAK LENGKAP",IF(OR(N102&gt;Parameter!$B$5*1.2,R102&gt;Parameter!$B$6*1.2,S102&gt;Parameter!$B$7*1.2,P102&gt;0),"OVER LIMIT",IF(OR(N102&gt;Parameter!$B$5,R102&gt;Parameter!$B$6,S102&gt;Parameter!$B$7),"WARNING","NORMAL"))))</x:f>
      </x:c>
      <x:c r="V102" s="182"/>
      <x:c r="W102" s="188"/>
    </x:row>
    <x:row r="103">
      <x:c r="A103" s="194" t="n">
        <x:f>ROW()-4</x:f>
        <x:v>99</x:v>
      </x:c>
      <x:c r="B103" s="142"/>
      <x:c r="C103" s="143"/>
      <x:c r="D103" s="143"/>
      <x:c r="E103" s="182"/>
      <x:c r="F103" s="182"/>
      <x:c r="G103" s="182"/>
      <x:c r="H103" s="144"/>
      <x:c r="I103" s="144"/>
      <x:c r="J103" s="200" t="str">
        <x:f>IF(OR(H103="",I103=""),"",MAX(0,I103-H103))</x:f>
      </x:c>
      <x:c r="K103" s="145"/>
      <x:c r="L103" s="145"/>
      <x:c r="M103" s="145"/>
      <x:c r="N103" s="145"/>
      <x:c r="O103" s="145"/>
      <x:c r="P103" s="209" t="str">
        <x:f>IF(OR(N103="",O103=""),"",MAX(0,N103-O103))</x:f>
      </x:c>
      <x:c r="Q103" s="209" t="str">
        <x:f>IF(L103="","",L103+IF(M103="",0,M103)-IF(N103="",0,N103))</x:f>
      </x:c>
      <x:c r="R103" s="210" t="str">
        <x:f>IF(OR(J103="",J103=0,N103=""),"",N103/J103)</x:f>
      </x:c>
      <x:c r="S103" s="210" t="str">
        <x:f>IF(OR(K103="",K103=0,N103=""),"",N103/K103*1000)</x:f>
      </x:c>
      <x:c r="T103" s="211" t="str">
        <x:f>IF(N103="","",N103*Parameter!$B$4)</x:f>
      </x:c>
      <x:c r="U103" s="212" t="str">
        <x:f>IF(B103="","",IF(OR(J103="",K103=""),"DATA TIDAK LENGKAP",IF(OR(N103&gt;Parameter!$B$5*1.2,R103&gt;Parameter!$B$6*1.2,S103&gt;Parameter!$B$7*1.2,P103&gt;0),"OVER LIMIT",IF(OR(N103&gt;Parameter!$B$5,R103&gt;Parameter!$B$6,S103&gt;Parameter!$B$7),"WARNING","NORMAL"))))</x:f>
      </x:c>
      <x:c r="V103" s="182"/>
      <x:c r="W103" s="188"/>
    </x:row>
    <x:row r="104">
      <x:c r="A104" s="194" t="n">
        <x:f>ROW()-4</x:f>
        <x:v>100</x:v>
      </x:c>
      <x:c r="B104" s="142"/>
      <x:c r="C104" s="143"/>
      <x:c r="D104" s="143"/>
      <x:c r="E104" s="182"/>
      <x:c r="F104" s="182"/>
      <x:c r="G104" s="182"/>
      <x:c r="H104" s="144"/>
      <x:c r="I104" s="144"/>
      <x:c r="J104" s="200" t="str">
        <x:f>IF(OR(H104="",I104=""),"",MAX(0,I104-H104))</x:f>
      </x:c>
      <x:c r="K104" s="145"/>
      <x:c r="L104" s="145"/>
      <x:c r="M104" s="145"/>
      <x:c r="N104" s="145"/>
      <x:c r="O104" s="145"/>
      <x:c r="P104" s="209" t="str">
        <x:f>IF(OR(N104="",O104=""),"",MAX(0,N104-O104))</x:f>
      </x:c>
      <x:c r="Q104" s="209" t="str">
        <x:f>IF(L104="","",L104+IF(M104="",0,M104)-IF(N104="",0,N104))</x:f>
      </x:c>
      <x:c r="R104" s="210" t="str">
        <x:f>IF(OR(J104="",J104=0,N104=""),"",N104/J104)</x:f>
      </x:c>
      <x:c r="S104" s="210" t="str">
        <x:f>IF(OR(K104="",K104=0,N104=""),"",N104/K104*1000)</x:f>
      </x:c>
      <x:c r="T104" s="211" t="str">
        <x:f>IF(N104="","",N104*Parameter!$B$4)</x:f>
      </x:c>
      <x:c r="U104" s="212" t="str">
        <x:f>IF(B104="","",IF(OR(J104="",K104=""),"DATA TIDAK LENGKAP",IF(OR(N104&gt;Parameter!$B$5*1.2,R104&gt;Parameter!$B$6*1.2,S104&gt;Parameter!$B$7*1.2,P104&gt;0),"OVER LIMIT",IF(OR(N104&gt;Parameter!$B$5,R104&gt;Parameter!$B$6,S104&gt;Parameter!$B$7),"WARNING","NORMAL"))))</x:f>
      </x:c>
      <x:c r="V104" s="182"/>
      <x:c r="W104" s="188"/>
    </x:row>
    <x:row r="105">
      <x:c r="A105" s="194" t="n">
        <x:f>ROW()-4</x:f>
        <x:v>101</x:v>
      </x:c>
      <x:c r="B105" s="142"/>
      <x:c r="C105" s="143"/>
      <x:c r="D105" s="143"/>
      <x:c r="E105" s="182"/>
      <x:c r="F105" s="182"/>
      <x:c r="G105" s="182"/>
      <x:c r="H105" s="144"/>
      <x:c r="I105" s="144"/>
      <x:c r="J105" s="200" t="str">
        <x:f>IF(OR(H105="",I105=""),"",MAX(0,I105-H105))</x:f>
      </x:c>
      <x:c r="K105" s="145"/>
      <x:c r="L105" s="145"/>
      <x:c r="M105" s="145"/>
      <x:c r="N105" s="145"/>
      <x:c r="O105" s="145"/>
      <x:c r="P105" s="209" t="str">
        <x:f>IF(OR(N105="",O105=""),"",MAX(0,N105-O105))</x:f>
      </x:c>
      <x:c r="Q105" s="209" t="str">
        <x:f>IF(L105="","",L105+IF(M105="",0,M105)-IF(N105="",0,N105))</x:f>
      </x:c>
      <x:c r="R105" s="210" t="str">
        <x:f>IF(OR(J105="",J105=0,N105=""),"",N105/J105)</x:f>
      </x:c>
      <x:c r="S105" s="210" t="str">
        <x:f>IF(OR(K105="",K105=0,N105=""),"",N105/K105*1000)</x:f>
      </x:c>
      <x:c r="T105" s="211" t="str">
        <x:f>IF(N105="","",N105*Parameter!$B$4)</x:f>
      </x:c>
      <x:c r="U105" s="212" t="str">
        <x:f>IF(B105="","",IF(OR(J105="",K105=""),"DATA TIDAK LENGKAP",IF(OR(N105&gt;Parameter!$B$5*1.2,R105&gt;Parameter!$B$6*1.2,S105&gt;Parameter!$B$7*1.2,P105&gt;0),"OVER LIMIT",IF(OR(N105&gt;Parameter!$B$5,R105&gt;Parameter!$B$6,S105&gt;Parameter!$B$7),"WARNING","NORMAL"))))</x:f>
      </x:c>
      <x:c r="V105" s="182"/>
      <x:c r="W105" s="188"/>
    </x:row>
    <x:row r="106">
      <x:c r="A106" s="194" t="n">
        <x:f>ROW()-4</x:f>
        <x:v>102</x:v>
      </x:c>
      <x:c r="B106" s="142"/>
      <x:c r="C106" s="143"/>
      <x:c r="D106" s="143"/>
      <x:c r="E106" s="182"/>
      <x:c r="F106" s="182"/>
      <x:c r="G106" s="182"/>
      <x:c r="H106" s="144"/>
      <x:c r="I106" s="144"/>
      <x:c r="J106" s="200" t="str">
        <x:f>IF(OR(H106="",I106=""),"",MAX(0,I106-H106))</x:f>
      </x:c>
      <x:c r="K106" s="145"/>
      <x:c r="L106" s="145"/>
      <x:c r="M106" s="145"/>
      <x:c r="N106" s="145"/>
      <x:c r="O106" s="145"/>
      <x:c r="P106" s="209" t="str">
        <x:f>IF(OR(N106="",O106=""),"",MAX(0,N106-O106))</x:f>
      </x:c>
      <x:c r="Q106" s="209" t="str">
        <x:f>IF(L106="","",L106+IF(M106="",0,M106)-IF(N106="",0,N106))</x:f>
      </x:c>
      <x:c r="R106" s="210" t="str">
        <x:f>IF(OR(J106="",J106=0,N106=""),"",N106/J106)</x:f>
      </x:c>
      <x:c r="S106" s="210" t="str">
        <x:f>IF(OR(K106="",K106=0,N106=""),"",N106/K106*1000)</x:f>
      </x:c>
      <x:c r="T106" s="211" t="str">
        <x:f>IF(N106="","",N106*Parameter!$B$4)</x:f>
      </x:c>
      <x:c r="U106" s="212" t="str">
        <x:f>IF(B106="","",IF(OR(J106="",K106=""),"DATA TIDAK LENGKAP",IF(OR(N106&gt;Parameter!$B$5*1.2,R106&gt;Parameter!$B$6*1.2,S106&gt;Parameter!$B$7*1.2,P106&gt;0),"OVER LIMIT",IF(OR(N106&gt;Parameter!$B$5,R106&gt;Parameter!$B$6,S106&gt;Parameter!$B$7),"WARNING","NORMAL"))))</x:f>
      </x:c>
      <x:c r="V106" s="182"/>
      <x:c r="W106" s="188"/>
    </x:row>
    <x:row r="107">
      <x:c r="A107" s="194" t="n">
        <x:f>ROW()-4</x:f>
        <x:v>103</x:v>
      </x:c>
      <x:c r="B107" s="142"/>
      <x:c r="C107" s="143"/>
      <x:c r="D107" s="143"/>
      <x:c r="E107" s="182"/>
      <x:c r="F107" s="182"/>
      <x:c r="G107" s="182"/>
      <x:c r="H107" s="144"/>
      <x:c r="I107" s="144"/>
      <x:c r="J107" s="200" t="str">
        <x:f>IF(OR(H107="",I107=""),"",MAX(0,I107-H107))</x:f>
      </x:c>
      <x:c r="K107" s="145"/>
      <x:c r="L107" s="145"/>
      <x:c r="M107" s="145"/>
      <x:c r="N107" s="145"/>
      <x:c r="O107" s="145"/>
      <x:c r="P107" s="209" t="str">
        <x:f>IF(OR(N107="",O107=""),"",MAX(0,N107-O107))</x:f>
      </x:c>
      <x:c r="Q107" s="209" t="str">
        <x:f>IF(L107="","",L107+IF(M107="",0,M107)-IF(N107="",0,N107))</x:f>
      </x:c>
      <x:c r="R107" s="210" t="str">
        <x:f>IF(OR(J107="",J107=0,N107=""),"",N107/J107)</x:f>
      </x:c>
      <x:c r="S107" s="210" t="str">
        <x:f>IF(OR(K107="",K107=0,N107=""),"",N107/K107*1000)</x:f>
      </x:c>
      <x:c r="T107" s="211" t="str">
        <x:f>IF(N107="","",N107*Parameter!$B$4)</x:f>
      </x:c>
      <x:c r="U107" s="212" t="str">
        <x:f>IF(B107="","",IF(OR(J107="",K107=""),"DATA TIDAK LENGKAP",IF(OR(N107&gt;Parameter!$B$5*1.2,R107&gt;Parameter!$B$6*1.2,S107&gt;Parameter!$B$7*1.2,P107&gt;0),"OVER LIMIT",IF(OR(N107&gt;Parameter!$B$5,R107&gt;Parameter!$B$6,S107&gt;Parameter!$B$7),"WARNING","NORMAL"))))</x:f>
      </x:c>
      <x:c r="V107" s="182"/>
      <x:c r="W107" s="188"/>
    </x:row>
    <x:row r="108">
      <x:c r="A108" s="194" t="n">
        <x:f>ROW()-4</x:f>
        <x:v>104</x:v>
      </x:c>
      <x:c r="B108" s="142"/>
      <x:c r="C108" s="143"/>
      <x:c r="D108" s="143"/>
      <x:c r="E108" s="182"/>
      <x:c r="F108" s="182"/>
      <x:c r="G108" s="182"/>
      <x:c r="H108" s="144"/>
      <x:c r="I108" s="144"/>
      <x:c r="J108" s="200" t="str">
        <x:f>IF(OR(H108="",I108=""),"",MAX(0,I108-H108))</x:f>
      </x:c>
      <x:c r="K108" s="145"/>
      <x:c r="L108" s="145"/>
      <x:c r="M108" s="145"/>
      <x:c r="N108" s="145"/>
      <x:c r="O108" s="145"/>
      <x:c r="P108" s="209" t="str">
        <x:f>IF(OR(N108="",O108=""),"",MAX(0,N108-O108))</x:f>
      </x:c>
      <x:c r="Q108" s="209" t="str">
        <x:f>IF(L108="","",L108+IF(M108="",0,M108)-IF(N108="",0,N108))</x:f>
      </x:c>
      <x:c r="R108" s="210" t="str">
        <x:f>IF(OR(J108="",J108=0,N108=""),"",N108/J108)</x:f>
      </x:c>
      <x:c r="S108" s="210" t="str">
        <x:f>IF(OR(K108="",K108=0,N108=""),"",N108/K108*1000)</x:f>
      </x:c>
      <x:c r="T108" s="211" t="str">
        <x:f>IF(N108="","",N108*Parameter!$B$4)</x:f>
      </x:c>
      <x:c r="U108" s="212" t="str">
        <x:f>IF(B108="","",IF(OR(J108="",K108=""),"DATA TIDAK LENGKAP",IF(OR(N108&gt;Parameter!$B$5*1.2,R108&gt;Parameter!$B$6*1.2,S108&gt;Parameter!$B$7*1.2,P108&gt;0),"OVER LIMIT",IF(OR(N108&gt;Parameter!$B$5,R108&gt;Parameter!$B$6,S108&gt;Parameter!$B$7),"WARNING","NORMAL"))))</x:f>
      </x:c>
      <x:c r="V108" s="182"/>
      <x:c r="W108" s="188"/>
    </x:row>
    <x:row r="109">
      <x:c r="A109" s="194" t="n">
        <x:f>ROW()-4</x:f>
        <x:v>105</x:v>
      </x:c>
      <x:c r="B109" s="142"/>
      <x:c r="C109" s="143"/>
      <x:c r="D109" s="143"/>
      <x:c r="E109" s="182"/>
      <x:c r="F109" s="182"/>
      <x:c r="G109" s="182"/>
      <x:c r="H109" s="144"/>
      <x:c r="I109" s="144"/>
      <x:c r="J109" s="200" t="str">
        <x:f>IF(OR(H109="",I109=""),"",MAX(0,I109-H109))</x:f>
      </x:c>
      <x:c r="K109" s="145"/>
      <x:c r="L109" s="145"/>
      <x:c r="M109" s="145"/>
      <x:c r="N109" s="145"/>
      <x:c r="O109" s="145"/>
      <x:c r="P109" s="209" t="str">
        <x:f>IF(OR(N109="",O109=""),"",MAX(0,N109-O109))</x:f>
      </x:c>
      <x:c r="Q109" s="209" t="str">
        <x:f>IF(L109="","",L109+IF(M109="",0,M109)-IF(N109="",0,N109))</x:f>
      </x:c>
      <x:c r="R109" s="210" t="str">
        <x:f>IF(OR(J109="",J109=0,N109=""),"",N109/J109)</x:f>
      </x:c>
      <x:c r="S109" s="210" t="str">
        <x:f>IF(OR(K109="",K109=0,N109=""),"",N109/K109*1000)</x:f>
      </x:c>
      <x:c r="T109" s="211" t="str">
        <x:f>IF(N109="","",N109*Parameter!$B$4)</x:f>
      </x:c>
      <x:c r="U109" s="212" t="str">
        <x:f>IF(B109="","",IF(OR(J109="",K109=""),"DATA TIDAK LENGKAP",IF(OR(N109&gt;Parameter!$B$5*1.2,R109&gt;Parameter!$B$6*1.2,S109&gt;Parameter!$B$7*1.2,P109&gt;0),"OVER LIMIT",IF(OR(N109&gt;Parameter!$B$5,R109&gt;Parameter!$B$6,S109&gt;Parameter!$B$7),"WARNING","NORMAL"))))</x:f>
      </x:c>
      <x:c r="V109" s="182"/>
      <x:c r="W109" s="188"/>
    </x:row>
    <x:row r="110">
      <x:c r="A110" s="194" t="n">
        <x:f>ROW()-4</x:f>
        <x:v>106</x:v>
      </x:c>
      <x:c r="B110" s="142"/>
      <x:c r="C110" s="143"/>
      <x:c r="D110" s="143"/>
      <x:c r="E110" s="182"/>
      <x:c r="F110" s="182"/>
      <x:c r="G110" s="182"/>
      <x:c r="H110" s="144"/>
      <x:c r="I110" s="144"/>
      <x:c r="J110" s="200" t="str">
        <x:f>IF(OR(H110="",I110=""),"",MAX(0,I110-H110))</x:f>
      </x:c>
      <x:c r="K110" s="145"/>
      <x:c r="L110" s="145"/>
      <x:c r="M110" s="145"/>
      <x:c r="N110" s="145"/>
      <x:c r="O110" s="145"/>
      <x:c r="P110" s="209" t="str">
        <x:f>IF(OR(N110="",O110=""),"",MAX(0,N110-O110))</x:f>
      </x:c>
      <x:c r="Q110" s="209" t="str">
        <x:f>IF(L110="","",L110+IF(M110="",0,M110)-IF(N110="",0,N110))</x:f>
      </x:c>
      <x:c r="R110" s="210" t="str">
        <x:f>IF(OR(J110="",J110=0,N110=""),"",N110/J110)</x:f>
      </x:c>
      <x:c r="S110" s="210" t="str">
        <x:f>IF(OR(K110="",K110=0,N110=""),"",N110/K110*1000)</x:f>
      </x:c>
      <x:c r="T110" s="211" t="str">
        <x:f>IF(N110="","",N110*Parameter!$B$4)</x:f>
      </x:c>
      <x:c r="U110" s="212" t="str">
        <x:f>IF(B110="","",IF(OR(J110="",K110=""),"DATA TIDAK LENGKAP",IF(OR(N110&gt;Parameter!$B$5*1.2,R110&gt;Parameter!$B$6*1.2,S110&gt;Parameter!$B$7*1.2,P110&gt;0),"OVER LIMIT",IF(OR(N110&gt;Parameter!$B$5,R110&gt;Parameter!$B$6,S110&gt;Parameter!$B$7),"WARNING","NORMAL"))))</x:f>
      </x:c>
      <x:c r="V110" s="182"/>
      <x:c r="W110" s="188"/>
    </x:row>
    <x:row r="111">
      <x:c r="A111" s="194" t="n">
        <x:f>ROW()-4</x:f>
        <x:v>107</x:v>
      </x:c>
      <x:c r="B111" s="142"/>
      <x:c r="C111" s="143"/>
      <x:c r="D111" s="143"/>
      <x:c r="E111" s="182"/>
      <x:c r="F111" s="182"/>
      <x:c r="G111" s="182"/>
      <x:c r="H111" s="144"/>
      <x:c r="I111" s="144"/>
      <x:c r="J111" s="200" t="str">
        <x:f>IF(OR(H111="",I111=""),"",MAX(0,I111-H111))</x:f>
      </x:c>
      <x:c r="K111" s="145"/>
      <x:c r="L111" s="145"/>
      <x:c r="M111" s="145"/>
      <x:c r="N111" s="145"/>
      <x:c r="O111" s="145"/>
      <x:c r="P111" s="209" t="str">
        <x:f>IF(OR(N111="",O111=""),"",MAX(0,N111-O111))</x:f>
      </x:c>
      <x:c r="Q111" s="209" t="str">
        <x:f>IF(L111="","",L111+IF(M111="",0,M111)-IF(N111="",0,N111))</x:f>
      </x:c>
      <x:c r="R111" s="210" t="str">
        <x:f>IF(OR(J111="",J111=0,N111=""),"",N111/J111)</x:f>
      </x:c>
      <x:c r="S111" s="210" t="str">
        <x:f>IF(OR(K111="",K111=0,N111=""),"",N111/K111*1000)</x:f>
      </x:c>
      <x:c r="T111" s="211" t="str">
        <x:f>IF(N111="","",N111*Parameter!$B$4)</x:f>
      </x:c>
      <x:c r="U111" s="212" t="str">
        <x:f>IF(B111="","",IF(OR(J111="",K111=""),"DATA TIDAK LENGKAP",IF(OR(N111&gt;Parameter!$B$5*1.2,R111&gt;Parameter!$B$6*1.2,S111&gt;Parameter!$B$7*1.2,P111&gt;0),"OVER LIMIT",IF(OR(N111&gt;Parameter!$B$5,R111&gt;Parameter!$B$6,S111&gt;Parameter!$B$7),"WARNING","NORMAL"))))</x:f>
      </x:c>
      <x:c r="V111" s="182"/>
      <x:c r="W111" s="188"/>
    </x:row>
    <x:row r="112">
      <x:c r="A112" s="194" t="n">
        <x:f>ROW()-4</x:f>
        <x:v>108</x:v>
      </x:c>
      <x:c r="B112" s="142"/>
      <x:c r="C112" s="143"/>
      <x:c r="D112" s="143"/>
      <x:c r="E112" s="182"/>
      <x:c r="F112" s="182"/>
      <x:c r="G112" s="182"/>
      <x:c r="H112" s="144"/>
      <x:c r="I112" s="144"/>
      <x:c r="J112" s="200" t="str">
        <x:f>IF(OR(H112="",I112=""),"",MAX(0,I112-H112))</x:f>
      </x:c>
      <x:c r="K112" s="145"/>
      <x:c r="L112" s="145"/>
      <x:c r="M112" s="145"/>
      <x:c r="N112" s="145"/>
      <x:c r="O112" s="145"/>
      <x:c r="P112" s="209" t="str">
        <x:f>IF(OR(N112="",O112=""),"",MAX(0,N112-O112))</x:f>
      </x:c>
      <x:c r="Q112" s="209" t="str">
        <x:f>IF(L112="","",L112+IF(M112="",0,M112)-IF(N112="",0,N112))</x:f>
      </x:c>
      <x:c r="R112" s="210" t="str">
        <x:f>IF(OR(J112="",J112=0,N112=""),"",N112/J112)</x:f>
      </x:c>
      <x:c r="S112" s="210" t="str">
        <x:f>IF(OR(K112="",K112=0,N112=""),"",N112/K112*1000)</x:f>
      </x:c>
      <x:c r="T112" s="211" t="str">
        <x:f>IF(N112="","",N112*Parameter!$B$4)</x:f>
      </x:c>
      <x:c r="U112" s="212" t="str">
        <x:f>IF(B112="","",IF(OR(J112="",K112=""),"DATA TIDAK LENGKAP",IF(OR(N112&gt;Parameter!$B$5*1.2,R112&gt;Parameter!$B$6*1.2,S112&gt;Parameter!$B$7*1.2,P112&gt;0),"OVER LIMIT",IF(OR(N112&gt;Parameter!$B$5,R112&gt;Parameter!$B$6,S112&gt;Parameter!$B$7),"WARNING","NORMAL"))))</x:f>
      </x:c>
      <x:c r="V112" s="182"/>
      <x:c r="W112" s="188"/>
    </x:row>
    <x:row r="113">
      <x:c r="A113" s="194" t="n">
        <x:f>ROW()-4</x:f>
        <x:v>109</x:v>
      </x:c>
      <x:c r="B113" s="142"/>
      <x:c r="C113" s="143"/>
      <x:c r="D113" s="143"/>
      <x:c r="E113" s="182"/>
      <x:c r="F113" s="182"/>
      <x:c r="G113" s="182"/>
      <x:c r="H113" s="144"/>
      <x:c r="I113" s="144"/>
      <x:c r="J113" s="200" t="str">
        <x:f>IF(OR(H113="",I113=""),"",MAX(0,I113-H113))</x:f>
      </x:c>
      <x:c r="K113" s="145"/>
      <x:c r="L113" s="145"/>
      <x:c r="M113" s="145"/>
      <x:c r="N113" s="145"/>
      <x:c r="O113" s="145"/>
      <x:c r="P113" s="209" t="str">
        <x:f>IF(OR(N113="",O113=""),"",MAX(0,N113-O113))</x:f>
      </x:c>
      <x:c r="Q113" s="209" t="str">
        <x:f>IF(L113="","",L113+IF(M113="",0,M113)-IF(N113="",0,N113))</x:f>
      </x:c>
      <x:c r="R113" s="210" t="str">
        <x:f>IF(OR(J113="",J113=0,N113=""),"",N113/J113)</x:f>
      </x:c>
      <x:c r="S113" s="210" t="str">
        <x:f>IF(OR(K113="",K113=0,N113=""),"",N113/K113*1000)</x:f>
      </x:c>
      <x:c r="T113" s="211" t="str">
        <x:f>IF(N113="","",N113*Parameter!$B$4)</x:f>
      </x:c>
      <x:c r="U113" s="212" t="str">
        <x:f>IF(B113="","",IF(OR(J113="",K113=""),"DATA TIDAK LENGKAP",IF(OR(N113&gt;Parameter!$B$5*1.2,R113&gt;Parameter!$B$6*1.2,S113&gt;Parameter!$B$7*1.2,P113&gt;0),"OVER LIMIT",IF(OR(N113&gt;Parameter!$B$5,R113&gt;Parameter!$B$6,S113&gt;Parameter!$B$7),"WARNING","NORMAL"))))</x:f>
      </x:c>
      <x:c r="V113" s="182"/>
      <x:c r="W113" s="188"/>
    </x:row>
    <x:row r="114">
      <x:c r="A114" s="194" t="n">
        <x:f>ROW()-4</x:f>
        <x:v>110</x:v>
      </x:c>
      <x:c r="B114" s="142"/>
      <x:c r="C114" s="143"/>
      <x:c r="D114" s="143"/>
      <x:c r="E114" s="182"/>
      <x:c r="F114" s="182"/>
      <x:c r="G114" s="182"/>
      <x:c r="H114" s="144"/>
      <x:c r="I114" s="144"/>
      <x:c r="J114" s="200" t="str">
        <x:f>IF(OR(H114="",I114=""),"",MAX(0,I114-H114))</x:f>
      </x:c>
      <x:c r="K114" s="145"/>
      <x:c r="L114" s="145"/>
      <x:c r="M114" s="145"/>
      <x:c r="N114" s="145"/>
      <x:c r="O114" s="145"/>
      <x:c r="P114" s="209" t="str">
        <x:f>IF(OR(N114="",O114=""),"",MAX(0,N114-O114))</x:f>
      </x:c>
      <x:c r="Q114" s="209" t="str">
        <x:f>IF(L114="","",L114+IF(M114="",0,M114)-IF(N114="",0,N114))</x:f>
      </x:c>
      <x:c r="R114" s="210" t="str">
        <x:f>IF(OR(J114="",J114=0,N114=""),"",N114/J114)</x:f>
      </x:c>
      <x:c r="S114" s="210" t="str">
        <x:f>IF(OR(K114="",K114=0,N114=""),"",N114/K114*1000)</x:f>
      </x:c>
      <x:c r="T114" s="211" t="str">
        <x:f>IF(N114="","",N114*Parameter!$B$4)</x:f>
      </x:c>
      <x:c r="U114" s="212" t="str">
        <x:f>IF(B114="","",IF(OR(J114="",K114=""),"DATA TIDAK LENGKAP",IF(OR(N114&gt;Parameter!$B$5*1.2,R114&gt;Parameter!$B$6*1.2,S114&gt;Parameter!$B$7*1.2,P114&gt;0),"OVER LIMIT",IF(OR(N114&gt;Parameter!$B$5,R114&gt;Parameter!$B$6,S114&gt;Parameter!$B$7),"WARNING","NORMAL"))))</x:f>
      </x:c>
      <x:c r="V114" s="182"/>
      <x:c r="W114" s="188"/>
    </x:row>
    <x:row r="115">
      <x:c r="A115" s="194" t="n">
        <x:f>ROW()-4</x:f>
        <x:v>111</x:v>
      </x:c>
      <x:c r="B115" s="142"/>
      <x:c r="C115" s="143"/>
      <x:c r="D115" s="143"/>
      <x:c r="E115" s="182"/>
      <x:c r="F115" s="182"/>
      <x:c r="G115" s="182"/>
      <x:c r="H115" s="144"/>
      <x:c r="I115" s="144"/>
      <x:c r="J115" s="200" t="str">
        <x:f>IF(OR(H115="",I115=""),"",MAX(0,I115-H115))</x:f>
      </x:c>
      <x:c r="K115" s="145"/>
      <x:c r="L115" s="145"/>
      <x:c r="M115" s="145"/>
      <x:c r="N115" s="145"/>
      <x:c r="O115" s="145"/>
      <x:c r="P115" s="209" t="str">
        <x:f>IF(OR(N115="",O115=""),"",MAX(0,N115-O115))</x:f>
      </x:c>
      <x:c r="Q115" s="209" t="str">
        <x:f>IF(L115="","",L115+IF(M115="",0,M115)-IF(N115="",0,N115))</x:f>
      </x:c>
      <x:c r="R115" s="210" t="str">
        <x:f>IF(OR(J115="",J115=0,N115=""),"",N115/J115)</x:f>
      </x:c>
      <x:c r="S115" s="210" t="str">
        <x:f>IF(OR(K115="",K115=0,N115=""),"",N115/K115*1000)</x:f>
      </x:c>
      <x:c r="T115" s="211" t="str">
        <x:f>IF(N115="","",N115*Parameter!$B$4)</x:f>
      </x:c>
      <x:c r="U115" s="212" t="str">
        <x:f>IF(B115="","",IF(OR(J115="",K115=""),"DATA TIDAK LENGKAP",IF(OR(N115&gt;Parameter!$B$5*1.2,R115&gt;Parameter!$B$6*1.2,S115&gt;Parameter!$B$7*1.2,P115&gt;0),"OVER LIMIT",IF(OR(N115&gt;Parameter!$B$5,R115&gt;Parameter!$B$6,S115&gt;Parameter!$B$7),"WARNING","NORMAL"))))</x:f>
      </x:c>
      <x:c r="V115" s="182"/>
      <x:c r="W115" s="188"/>
    </x:row>
    <x:row r="116">
      <x:c r="A116" s="194" t="n">
        <x:f>ROW()-4</x:f>
        <x:v>112</x:v>
      </x:c>
      <x:c r="B116" s="142"/>
      <x:c r="C116" s="143"/>
      <x:c r="D116" s="143"/>
      <x:c r="E116" s="182"/>
      <x:c r="F116" s="182"/>
      <x:c r="G116" s="182"/>
      <x:c r="H116" s="144"/>
      <x:c r="I116" s="144"/>
      <x:c r="J116" s="200" t="str">
        <x:f>IF(OR(H116="",I116=""),"",MAX(0,I116-H116))</x:f>
      </x:c>
      <x:c r="K116" s="145"/>
      <x:c r="L116" s="145"/>
      <x:c r="M116" s="145"/>
      <x:c r="N116" s="145"/>
      <x:c r="O116" s="145"/>
      <x:c r="P116" s="209" t="str">
        <x:f>IF(OR(N116="",O116=""),"",MAX(0,N116-O116))</x:f>
      </x:c>
      <x:c r="Q116" s="209" t="str">
        <x:f>IF(L116="","",L116+IF(M116="",0,M116)-IF(N116="",0,N116))</x:f>
      </x:c>
      <x:c r="R116" s="210" t="str">
        <x:f>IF(OR(J116="",J116=0,N116=""),"",N116/J116)</x:f>
      </x:c>
      <x:c r="S116" s="210" t="str">
        <x:f>IF(OR(K116="",K116=0,N116=""),"",N116/K116*1000)</x:f>
      </x:c>
      <x:c r="T116" s="211" t="str">
        <x:f>IF(N116="","",N116*Parameter!$B$4)</x:f>
      </x:c>
      <x:c r="U116" s="212" t="str">
        <x:f>IF(B116="","",IF(OR(J116="",K116=""),"DATA TIDAK LENGKAP",IF(OR(N116&gt;Parameter!$B$5*1.2,R116&gt;Parameter!$B$6*1.2,S116&gt;Parameter!$B$7*1.2,P116&gt;0),"OVER LIMIT",IF(OR(N116&gt;Parameter!$B$5,R116&gt;Parameter!$B$6,S116&gt;Parameter!$B$7),"WARNING","NORMAL"))))</x:f>
      </x:c>
      <x:c r="V116" s="182"/>
      <x:c r="W116" s="188"/>
    </x:row>
    <x:row r="117">
      <x:c r="A117" s="194" t="n">
        <x:f>ROW()-4</x:f>
        <x:v>113</x:v>
      </x:c>
      <x:c r="B117" s="142"/>
      <x:c r="C117" s="143"/>
      <x:c r="D117" s="143"/>
      <x:c r="E117" s="182"/>
      <x:c r="F117" s="182"/>
      <x:c r="G117" s="182"/>
      <x:c r="H117" s="144"/>
      <x:c r="I117" s="144"/>
      <x:c r="J117" s="200" t="str">
        <x:f>IF(OR(H117="",I117=""),"",MAX(0,I117-H117))</x:f>
      </x:c>
      <x:c r="K117" s="145"/>
      <x:c r="L117" s="145"/>
      <x:c r="M117" s="145"/>
      <x:c r="N117" s="145"/>
      <x:c r="O117" s="145"/>
      <x:c r="P117" s="209" t="str">
        <x:f>IF(OR(N117="",O117=""),"",MAX(0,N117-O117))</x:f>
      </x:c>
      <x:c r="Q117" s="209" t="str">
        <x:f>IF(L117="","",L117+IF(M117="",0,M117)-IF(N117="",0,N117))</x:f>
      </x:c>
      <x:c r="R117" s="210" t="str">
        <x:f>IF(OR(J117="",J117=0,N117=""),"",N117/J117)</x:f>
      </x:c>
      <x:c r="S117" s="210" t="str">
        <x:f>IF(OR(K117="",K117=0,N117=""),"",N117/K117*1000)</x:f>
      </x:c>
      <x:c r="T117" s="211" t="str">
        <x:f>IF(N117="","",N117*Parameter!$B$4)</x:f>
      </x:c>
      <x:c r="U117" s="212" t="str">
        <x:f>IF(B117="","",IF(OR(J117="",K117=""),"DATA TIDAK LENGKAP",IF(OR(N117&gt;Parameter!$B$5*1.2,R117&gt;Parameter!$B$6*1.2,S117&gt;Parameter!$B$7*1.2,P117&gt;0),"OVER LIMIT",IF(OR(N117&gt;Parameter!$B$5,R117&gt;Parameter!$B$6,S117&gt;Parameter!$B$7),"WARNING","NORMAL"))))</x:f>
      </x:c>
      <x:c r="V117" s="182"/>
      <x:c r="W117" s="188"/>
    </x:row>
    <x:row r="118">
      <x:c r="A118" s="194" t="n">
        <x:f>ROW()-4</x:f>
        <x:v>114</x:v>
      </x:c>
      <x:c r="B118" s="142"/>
      <x:c r="C118" s="143"/>
      <x:c r="D118" s="143"/>
      <x:c r="E118" s="182"/>
      <x:c r="F118" s="182"/>
      <x:c r="G118" s="182"/>
      <x:c r="H118" s="144"/>
      <x:c r="I118" s="144"/>
      <x:c r="J118" s="200" t="str">
        <x:f>IF(OR(H118="",I118=""),"",MAX(0,I118-H118))</x:f>
      </x:c>
      <x:c r="K118" s="145"/>
      <x:c r="L118" s="145"/>
      <x:c r="M118" s="145"/>
      <x:c r="N118" s="145"/>
      <x:c r="O118" s="145"/>
      <x:c r="P118" s="209" t="str">
        <x:f>IF(OR(N118="",O118=""),"",MAX(0,N118-O118))</x:f>
      </x:c>
      <x:c r="Q118" s="209" t="str">
        <x:f>IF(L118="","",L118+IF(M118="",0,M118)-IF(N118="",0,N118))</x:f>
      </x:c>
      <x:c r="R118" s="210" t="str">
        <x:f>IF(OR(J118="",J118=0,N118=""),"",N118/J118)</x:f>
      </x:c>
      <x:c r="S118" s="210" t="str">
        <x:f>IF(OR(K118="",K118=0,N118=""),"",N118/K118*1000)</x:f>
      </x:c>
      <x:c r="T118" s="211" t="str">
        <x:f>IF(N118="","",N118*Parameter!$B$4)</x:f>
      </x:c>
      <x:c r="U118" s="212" t="str">
        <x:f>IF(B118="","",IF(OR(J118="",K118=""),"DATA TIDAK LENGKAP",IF(OR(N118&gt;Parameter!$B$5*1.2,R118&gt;Parameter!$B$6*1.2,S118&gt;Parameter!$B$7*1.2,P118&gt;0),"OVER LIMIT",IF(OR(N118&gt;Parameter!$B$5,R118&gt;Parameter!$B$6,S118&gt;Parameter!$B$7),"WARNING","NORMAL"))))</x:f>
      </x:c>
      <x:c r="V118" s="182"/>
      <x:c r="W118" s="188"/>
    </x:row>
    <x:row r="119">
      <x:c r="A119" s="194" t="n">
        <x:f>ROW()-4</x:f>
        <x:v>115</x:v>
      </x:c>
      <x:c r="B119" s="142"/>
      <x:c r="C119" s="143"/>
      <x:c r="D119" s="143"/>
      <x:c r="E119" s="182"/>
      <x:c r="F119" s="182"/>
      <x:c r="G119" s="182"/>
      <x:c r="H119" s="144"/>
      <x:c r="I119" s="144"/>
      <x:c r="J119" s="200" t="str">
        <x:f>IF(OR(H119="",I119=""),"",MAX(0,I119-H119))</x:f>
      </x:c>
      <x:c r="K119" s="145"/>
      <x:c r="L119" s="145"/>
      <x:c r="M119" s="145"/>
      <x:c r="N119" s="145"/>
      <x:c r="O119" s="145"/>
      <x:c r="P119" s="209" t="str">
        <x:f>IF(OR(N119="",O119=""),"",MAX(0,N119-O119))</x:f>
      </x:c>
      <x:c r="Q119" s="209" t="str">
        <x:f>IF(L119="","",L119+IF(M119="",0,M119)-IF(N119="",0,N119))</x:f>
      </x:c>
      <x:c r="R119" s="210" t="str">
        <x:f>IF(OR(J119="",J119=0,N119=""),"",N119/J119)</x:f>
      </x:c>
      <x:c r="S119" s="210" t="str">
        <x:f>IF(OR(K119="",K119=0,N119=""),"",N119/K119*1000)</x:f>
      </x:c>
      <x:c r="T119" s="211" t="str">
        <x:f>IF(N119="","",N119*Parameter!$B$4)</x:f>
      </x:c>
      <x:c r="U119" s="212" t="str">
        <x:f>IF(B119="","",IF(OR(J119="",K119=""),"DATA TIDAK LENGKAP",IF(OR(N119&gt;Parameter!$B$5*1.2,R119&gt;Parameter!$B$6*1.2,S119&gt;Parameter!$B$7*1.2,P119&gt;0),"OVER LIMIT",IF(OR(N119&gt;Parameter!$B$5,R119&gt;Parameter!$B$6,S119&gt;Parameter!$B$7),"WARNING","NORMAL"))))</x:f>
      </x:c>
      <x:c r="V119" s="182"/>
      <x:c r="W119" s="188"/>
    </x:row>
    <x:row r="120">
      <x:c r="A120" s="194" t="n">
        <x:f>ROW()-4</x:f>
        <x:v>116</x:v>
      </x:c>
      <x:c r="B120" s="142"/>
      <x:c r="C120" s="143"/>
      <x:c r="D120" s="143"/>
      <x:c r="E120" s="182"/>
      <x:c r="F120" s="182"/>
      <x:c r="G120" s="182"/>
      <x:c r="H120" s="144"/>
      <x:c r="I120" s="144"/>
      <x:c r="J120" s="200" t="str">
        <x:f>IF(OR(H120="",I120=""),"",MAX(0,I120-H120))</x:f>
      </x:c>
      <x:c r="K120" s="145"/>
      <x:c r="L120" s="145"/>
      <x:c r="M120" s="145"/>
      <x:c r="N120" s="145"/>
      <x:c r="O120" s="145"/>
      <x:c r="P120" s="209" t="str">
        <x:f>IF(OR(N120="",O120=""),"",MAX(0,N120-O120))</x:f>
      </x:c>
      <x:c r="Q120" s="209" t="str">
        <x:f>IF(L120="","",L120+IF(M120="",0,M120)-IF(N120="",0,N120))</x:f>
      </x:c>
      <x:c r="R120" s="210" t="str">
        <x:f>IF(OR(J120="",J120=0,N120=""),"",N120/J120)</x:f>
      </x:c>
      <x:c r="S120" s="210" t="str">
        <x:f>IF(OR(K120="",K120=0,N120=""),"",N120/K120*1000)</x:f>
      </x:c>
      <x:c r="T120" s="211" t="str">
        <x:f>IF(N120="","",N120*Parameter!$B$4)</x:f>
      </x:c>
      <x:c r="U120" s="212" t="str">
        <x:f>IF(B120="","",IF(OR(J120="",K120=""),"DATA TIDAK LENGKAP",IF(OR(N120&gt;Parameter!$B$5*1.2,R120&gt;Parameter!$B$6*1.2,S120&gt;Parameter!$B$7*1.2,P120&gt;0),"OVER LIMIT",IF(OR(N120&gt;Parameter!$B$5,R120&gt;Parameter!$B$6,S120&gt;Parameter!$B$7),"WARNING","NORMAL"))))</x:f>
      </x:c>
      <x:c r="V120" s="182"/>
      <x:c r="W120" s="188"/>
    </x:row>
    <x:row r="121">
      <x:c r="A121" s="194" t="n">
        <x:f>ROW()-4</x:f>
        <x:v>117</x:v>
      </x:c>
      <x:c r="B121" s="142"/>
      <x:c r="C121" s="143"/>
      <x:c r="D121" s="143"/>
      <x:c r="E121" s="182"/>
      <x:c r="F121" s="182"/>
      <x:c r="G121" s="182"/>
      <x:c r="H121" s="144"/>
      <x:c r="I121" s="144"/>
      <x:c r="J121" s="200" t="str">
        <x:f>IF(OR(H121="",I121=""),"",MAX(0,I121-H121))</x:f>
      </x:c>
      <x:c r="K121" s="145"/>
      <x:c r="L121" s="145"/>
      <x:c r="M121" s="145"/>
      <x:c r="N121" s="145"/>
      <x:c r="O121" s="145"/>
      <x:c r="P121" s="209" t="str">
        <x:f>IF(OR(N121="",O121=""),"",MAX(0,N121-O121))</x:f>
      </x:c>
      <x:c r="Q121" s="209" t="str">
        <x:f>IF(L121="","",L121+IF(M121="",0,M121)-IF(N121="",0,N121))</x:f>
      </x:c>
      <x:c r="R121" s="210" t="str">
        <x:f>IF(OR(J121="",J121=0,N121=""),"",N121/J121)</x:f>
      </x:c>
      <x:c r="S121" s="210" t="str">
        <x:f>IF(OR(K121="",K121=0,N121=""),"",N121/K121*1000)</x:f>
      </x:c>
      <x:c r="T121" s="211" t="str">
        <x:f>IF(N121="","",N121*Parameter!$B$4)</x:f>
      </x:c>
      <x:c r="U121" s="212" t="str">
        <x:f>IF(B121="","",IF(OR(J121="",K121=""),"DATA TIDAK LENGKAP",IF(OR(N121&gt;Parameter!$B$5*1.2,R121&gt;Parameter!$B$6*1.2,S121&gt;Parameter!$B$7*1.2,P121&gt;0),"OVER LIMIT",IF(OR(N121&gt;Parameter!$B$5,R121&gt;Parameter!$B$6,S121&gt;Parameter!$B$7),"WARNING","NORMAL"))))</x:f>
      </x:c>
      <x:c r="V121" s="182"/>
      <x:c r="W121" s="188"/>
    </x:row>
    <x:row r="122">
      <x:c r="A122" s="194" t="n">
        <x:f>ROW()-4</x:f>
        <x:v>118</x:v>
      </x:c>
      <x:c r="B122" s="142"/>
      <x:c r="C122" s="143"/>
      <x:c r="D122" s="143"/>
      <x:c r="E122" s="182"/>
      <x:c r="F122" s="182"/>
      <x:c r="G122" s="182"/>
      <x:c r="H122" s="144"/>
      <x:c r="I122" s="144"/>
      <x:c r="J122" s="200" t="str">
        <x:f>IF(OR(H122="",I122=""),"",MAX(0,I122-H122))</x:f>
      </x:c>
      <x:c r="K122" s="145"/>
      <x:c r="L122" s="145"/>
      <x:c r="M122" s="145"/>
      <x:c r="N122" s="145"/>
      <x:c r="O122" s="145"/>
      <x:c r="P122" s="209" t="str">
        <x:f>IF(OR(N122="",O122=""),"",MAX(0,N122-O122))</x:f>
      </x:c>
      <x:c r="Q122" s="209" t="str">
        <x:f>IF(L122="","",L122+IF(M122="",0,M122)-IF(N122="",0,N122))</x:f>
      </x:c>
      <x:c r="R122" s="210" t="str">
        <x:f>IF(OR(J122="",J122=0,N122=""),"",N122/J122)</x:f>
      </x:c>
      <x:c r="S122" s="210" t="str">
        <x:f>IF(OR(K122="",K122=0,N122=""),"",N122/K122*1000)</x:f>
      </x:c>
      <x:c r="T122" s="211" t="str">
        <x:f>IF(N122="","",N122*Parameter!$B$4)</x:f>
      </x:c>
      <x:c r="U122" s="212" t="str">
        <x:f>IF(B122="","",IF(OR(J122="",K122=""),"DATA TIDAK LENGKAP",IF(OR(N122&gt;Parameter!$B$5*1.2,R122&gt;Parameter!$B$6*1.2,S122&gt;Parameter!$B$7*1.2,P122&gt;0),"OVER LIMIT",IF(OR(N122&gt;Parameter!$B$5,R122&gt;Parameter!$B$6,S122&gt;Parameter!$B$7),"WARNING","NORMAL"))))</x:f>
      </x:c>
      <x:c r="V122" s="182"/>
      <x:c r="W122" s="188"/>
    </x:row>
    <x:row r="123">
      <x:c r="A123" s="194" t="n">
        <x:f>ROW()-4</x:f>
        <x:v>119</x:v>
      </x:c>
      <x:c r="B123" s="142"/>
      <x:c r="C123" s="143"/>
      <x:c r="D123" s="143"/>
      <x:c r="E123" s="182"/>
      <x:c r="F123" s="182"/>
      <x:c r="G123" s="182"/>
      <x:c r="H123" s="144"/>
      <x:c r="I123" s="144"/>
      <x:c r="J123" s="200" t="str">
        <x:f>IF(OR(H123="",I123=""),"",MAX(0,I123-H123))</x:f>
      </x:c>
      <x:c r="K123" s="145"/>
      <x:c r="L123" s="145"/>
      <x:c r="M123" s="145"/>
      <x:c r="N123" s="145"/>
      <x:c r="O123" s="145"/>
      <x:c r="P123" s="209" t="str">
        <x:f>IF(OR(N123="",O123=""),"",MAX(0,N123-O123))</x:f>
      </x:c>
      <x:c r="Q123" s="209" t="str">
        <x:f>IF(L123="","",L123+IF(M123="",0,M123)-IF(N123="",0,N123))</x:f>
      </x:c>
      <x:c r="R123" s="210" t="str">
        <x:f>IF(OR(J123="",J123=0,N123=""),"",N123/J123)</x:f>
      </x:c>
      <x:c r="S123" s="210" t="str">
        <x:f>IF(OR(K123="",K123=0,N123=""),"",N123/K123*1000)</x:f>
      </x:c>
      <x:c r="T123" s="211" t="str">
        <x:f>IF(N123="","",N123*Parameter!$B$4)</x:f>
      </x:c>
      <x:c r="U123" s="212" t="str">
        <x:f>IF(B123="","",IF(OR(J123="",K123=""),"DATA TIDAK LENGKAP",IF(OR(N123&gt;Parameter!$B$5*1.2,R123&gt;Parameter!$B$6*1.2,S123&gt;Parameter!$B$7*1.2,P123&gt;0),"OVER LIMIT",IF(OR(N123&gt;Parameter!$B$5,R123&gt;Parameter!$B$6,S123&gt;Parameter!$B$7),"WARNING","NORMAL"))))</x:f>
      </x:c>
      <x:c r="V123" s="182"/>
      <x:c r="W123" s="188"/>
    </x:row>
    <x:row r="124">
      <x:c r="A124" s="194" t="n">
        <x:f>ROW()-4</x:f>
        <x:v>120</x:v>
      </x:c>
      <x:c r="B124" s="142"/>
      <x:c r="C124" s="143"/>
      <x:c r="D124" s="143"/>
      <x:c r="E124" s="182"/>
      <x:c r="F124" s="182"/>
      <x:c r="G124" s="182"/>
      <x:c r="H124" s="144"/>
      <x:c r="I124" s="144"/>
      <x:c r="J124" s="200" t="str">
        <x:f>IF(OR(H124="",I124=""),"",MAX(0,I124-H124))</x:f>
      </x:c>
      <x:c r="K124" s="145"/>
      <x:c r="L124" s="145"/>
      <x:c r="M124" s="145"/>
      <x:c r="N124" s="145"/>
      <x:c r="O124" s="145"/>
      <x:c r="P124" s="209" t="str">
        <x:f>IF(OR(N124="",O124=""),"",MAX(0,N124-O124))</x:f>
      </x:c>
      <x:c r="Q124" s="209" t="str">
        <x:f>IF(L124="","",L124+IF(M124="",0,M124)-IF(N124="",0,N124))</x:f>
      </x:c>
      <x:c r="R124" s="210" t="str">
        <x:f>IF(OR(J124="",J124=0,N124=""),"",N124/J124)</x:f>
      </x:c>
      <x:c r="S124" s="210" t="str">
        <x:f>IF(OR(K124="",K124=0,N124=""),"",N124/K124*1000)</x:f>
      </x:c>
      <x:c r="T124" s="211" t="str">
        <x:f>IF(N124="","",N124*Parameter!$B$4)</x:f>
      </x:c>
      <x:c r="U124" s="212" t="str">
        <x:f>IF(B124="","",IF(OR(J124="",K124=""),"DATA TIDAK LENGKAP",IF(OR(N124&gt;Parameter!$B$5*1.2,R124&gt;Parameter!$B$6*1.2,S124&gt;Parameter!$B$7*1.2,P124&gt;0),"OVER LIMIT",IF(OR(N124&gt;Parameter!$B$5,R124&gt;Parameter!$B$6,S124&gt;Parameter!$B$7),"WARNING","NORMAL"))))</x:f>
      </x:c>
      <x:c r="V124" s="182"/>
      <x:c r="W124" s="188"/>
    </x:row>
    <x:row r="125">
      <x:c r="A125" s="194" t="n">
        <x:f>ROW()-4</x:f>
        <x:v>121</x:v>
      </x:c>
      <x:c r="B125" s="142"/>
      <x:c r="C125" s="143"/>
      <x:c r="D125" s="143"/>
      <x:c r="E125" s="182"/>
      <x:c r="F125" s="182"/>
      <x:c r="G125" s="182"/>
      <x:c r="H125" s="144"/>
      <x:c r="I125" s="144"/>
      <x:c r="J125" s="200" t="str">
        <x:f>IF(OR(H125="",I125=""),"",MAX(0,I125-H125))</x:f>
      </x:c>
      <x:c r="K125" s="145"/>
      <x:c r="L125" s="145"/>
      <x:c r="M125" s="145"/>
      <x:c r="N125" s="145"/>
      <x:c r="O125" s="145"/>
      <x:c r="P125" s="209" t="str">
        <x:f>IF(OR(N125="",O125=""),"",MAX(0,N125-O125))</x:f>
      </x:c>
      <x:c r="Q125" s="209" t="str">
        <x:f>IF(L125="","",L125+IF(M125="",0,M125)-IF(N125="",0,N125))</x:f>
      </x:c>
      <x:c r="R125" s="210" t="str">
        <x:f>IF(OR(J125="",J125=0,N125=""),"",N125/J125)</x:f>
      </x:c>
      <x:c r="S125" s="210" t="str">
        <x:f>IF(OR(K125="",K125=0,N125=""),"",N125/K125*1000)</x:f>
      </x:c>
      <x:c r="T125" s="211" t="str">
        <x:f>IF(N125="","",N125*Parameter!$B$4)</x:f>
      </x:c>
      <x:c r="U125" s="212" t="str">
        <x:f>IF(B125="","",IF(OR(J125="",K125=""),"DATA TIDAK LENGKAP",IF(OR(N125&gt;Parameter!$B$5*1.2,R125&gt;Parameter!$B$6*1.2,S125&gt;Parameter!$B$7*1.2,P125&gt;0),"OVER LIMIT",IF(OR(N125&gt;Parameter!$B$5,R125&gt;Parameter!$B$6,S125&gt;Parameter!$B$7),"WARNING","NORMAL"))))</x:f>
      </x:c>
      <x:c r="V125" s="182"/>
      <x:c r="W125" s="188"/>
    </x:row>
    <x:row r="126">
      <x:c r="A126" s="194" t="n">
        <x:f>ROW()-4</x:f>
        <x:v>122</x:v>
      </x:c>
      <x:c r="B126" s="142"/>
      <x:c r="C126" s="143"/>
      <x:c r="D126" s="143"/>
      <x:c r="E126" s="182"/>
      <x:c r="F126" s="182"/>
      <x:c r="G126" s="182"/>
      <x:c r="H126" s="144"/>
      <x:c r="I126" s="144"/>
      <x:c r="J126" s="200" t="str">
        <x:f>IF(OR(H126="",I126=""),"",MAX(0,I126-H126))</x:f>
      </x:c>
      <x:c r="K126" s="145"/>
      <x:c r="L126" s="145"/>
      <x:c r="M126" s="145"/>
      <x:c r="N126" s="145"/>
      <x:c r="O126" s="145"/>
      <x:c r="P126" s="209" t="str">
        <x:f>IF(OR(N126="",O126=""),"",MAX(0,N126-O126))</x:f>
      </x:c>
      <x:c r="Q126" s="209" t="str">
        <x:f>IF(L126="","",L126+IF(M126="",0,M126)-IF(N126="",0,N126))</x:f>
      </x:c>
      <x:c r="R126" s="210" t="str">
        <x:f>IF(OR(J126="",J126=0,N126=""),"",N126/J126)</x:f>
      </x:c>
      <x:c r="S126" s="210" t="str">
        <x:f>IF(OR(K126="",K126=0,N126=""),"",N126/K126*1000)</x:f>
      </x:c>
      <x:c r="T126" s="211" t="str">
        <x:f>IF(N126="","",N126*Parameter!$B$4)</x:f>
      </x:c>
      <x:c r="U126" s="212" t="str">
        <x:f>IF(B126="","",IF(OR(J126="",K126=""),"DATA TIDAK LENGKAP",IF(OR(N126&gt;Parameter!$B$5*1.2,R126&gt;Parameter!$B$6*1.2,S126&gt;Parameter!$B$7*1.2,P126&gt;0),"OVER LIMIT",IF(OR(N126&gt;Parameter!$B$5,R126&gt;Parameter!$B$6,S126&gt;Parameter!$B$7),"WARNING","NORMAL"))))</x:f>
      </x:c>
      <x:c r="V126" s="182"/>
      <x:c r="W126" s="188"/>
    </x:row>
    <x:row r="127">
      <x:c r="A127" s="194" t="n">
        <x:f>ROW()-4</x:f>
        <x:v>123</x:v>
      </x:c>
      <x:c r="B127" s="142"/>
      <x:c r="C127" s="143"/>
      <x:c r="D127" s="143"/>
      <x:c r="E127" s="182"/>
      <x:c r="F127" s="182"/>
      <x:c r="G127" s="182"/>
      <x:c r="H127" s="144"/>
      <x:c r="I127" s="144"/>
      <x:c r="J127" s="200" t="str">
        <x:f>IF(OR(H127="",I127=""),"",MAX(0,I127-H127))</x:f>
      </x:c>
      <x:c r="K127" s="145"/>
      <x:c r="L127" s="145"/>
      <x:c r="M127" s="145"/>
      <x:c r="N127" s="145"/>
      <x:c r="O127" s="145"/>
      <x:c r="P127" s="209" t="str">
        <x:f>IF(OR(N127="",O127=""),"",MAX(0,N127-O127))</x:f>
      </x:c>
      <x:c r="Q127" s="209" t="str">
        <x:f>IF(L127="","",L127+IF(M127="",0,M127)-IF(N127="",0,N127))</x:f>
      </x:c>
      <x:c r="R127" s="210" t="str">
        <x:f>IF(OR(J127="",J127=0,N127=""),"",N127/J127)</x:f>
      </x:c>
      <x:c r="S127" s="210" t="str">
        <x:f>IF(OR(K127="",K127=0,N127=""),"",N127/K127*1000)</x:f>
      </x:c>
      <x:c r="T127" s="211" t="str">
        <x:f>IF(N127="","",N127*Parameter!$B$4)</x:f>
      </x:c>
      <x:c r="U127" s="212" t="str">
        <x:f>IF(B127="","",IF(OR(J127="",K127=""),"DATA TIDAK LENGKAP",IF(OR(N127&gt;Parameter!$B$5*1.2,R127&gt;Parameter!$B$6*1.2,S127&gt;Parameter!$B$7*1.2,P127&gt;0),"OVER LIMIT",IF(OR(N127&gt;Parameter!$B$5,R127&gt;Parameter!$B$6,S127&gt;Parameter!$B$7),"WARNING","NORMAL"))))</x:f>
      </x:c>
      <x:c r="V127" s="182"/>
      <x:c r="W127" s="188"/>
    </x:row>
    <x:row r="128">
      <x:c r="A128" s="194" t="n">
        <x:f>ROW()-4</x:f>
        <x:v>124</x:v>
      </x:c>
      <x:c r="B128" s="142"/>
      <x:c r="C128" s="143"/>
      <x:c r="D128" s="143"/>
      <x:c r="E128" s="182"/>
      <x:c r="F128" s="182"/>
      <x:c r="G128" s="182"/>
      <x:c r="H128" s="144"/>
      <x:c r="I128" s="144"/>
      <x:c r="J128" s="200" t="str">
        <x:f>IF(OR(H128="",I128=""),"",MAX(0,I128-H128))</x:f>
      </x:c>
      <x:c r="K128" s="145"/>
      <x:c r="L128" s="145"/>
      <x:c r="M128" s="145"/>
      <x:c r="N128" s="145"/>
      <x:c r="O128" s="145"/>
      <x:c r="P128" s="209" t="str">
        <x:f>IF(OR(N128="",O128=""),"",MAX(0,N128-O128))</x:f>
      </x:c>
      <x:c r="Q128" s="209" t="str">
        <x:f>IF(L128="","",L128+IF(M128="",0,M128)-IF(N128="",0,N128))</x:f>
      </x:c>
      <x:c r="R128" s="210" t="str">
        <x:f>IF(OR(J128="",J128=0,N128=""),"",N128/J128)</x:f>
      </x:c>
      <x:c r="S128" s="210" t="str">
        <x:f>IF(OR(K128="",K128=0,N128=""),"",N128/K128*1000)</x:f>
      </x:c>
      <x:c r="T128" s="211" t="str">
        <x:f>IF(N128="","",N128*Parameter!$B$4)</x:f>
      </x:c>
      <x:c r="U128" s="212" t="str">
        <x:f>IF(B128="","",IF(OR(J128="",K128=""),"DATA TIDAK LENGKAP",IF(OR(N128&gt;Parameter!$B$5*1.2,R128&gt;Parameter!$B$6*1.2,S128&gt;Parameter!$B$7*1.2,P128&gt;0),"OVER LIMIT",IF(OR(N128&gt;Parameter!$B$5,R128&gt;Parameter!$B$6,S128&gt;Parameter!$B$7),"WARNING","NORMAL"))))</x:f>
      </x:c>
      <x:c r="V128" s="182"/>
      <x:c r="W128" s="188"/>
    </x:row>
    <x:row r="129">
      <x:c r="A129" s="194" t="n">
        <x:f>ROW()-4</x:f>
        <x:v>125</x:v>
      </x:c>
      <x:c r="B129" s="142"/>
      <x:c r="C129" s="143"/>
      <x:c r="D129" s="143"/>
      <x:c r="E129" s="182"/>
      <x:c r="F129" s="182"/>
      <x:c r="G129" s="182"/>
      <x:c r="H129" s="144"/>
      <x:c r="I129" s="144"/>
      <x:c r="J129" s="200" t="str">
        <x:f>IF(OR(H129="",I129=""),"",MAX(0,I129-H129))</x:f>
      </x:c>
      <x:c r="K129" s="145"/>
      <x:c r="L129" s="145"/>
      <x:c r="M129" s="145"/>
      <x:c r="N129" s="145"/>
      <x:c r="O129" s="145"/>
      <x:c r="P129" s="209" t="str">
        <x:f>IF(OR(N129="",O129=""),"",MAX(0,N129-O129))</x:f>
      </x:c>
      <x:c r="Q129" s="209" t="str">
        <x:f>IF(L129="","",L129+IF(M129="",0,M129)-IF(N129="",0,N129))</x:f>
      </x:c>
      <x:c r="R129" s="210" t="str">
        <x:f>IF(OR(J129="",J129=0,N129=""),"",N129/J129)</x:f>
      </x:c>
      <x:c r="S129" s="210" t="str">
        <x:f>IF(OR(K129="",K129=0,N129=""),"",N129/K129*1000)</x:f>
      </x:c>
      <x:c r="T129" s="211" t="str">
        <x:f>IF(N129="","",N129*Parameter!$B$4)</x:f>
      </x:c>
      <x:c r="U129" s="212" t="str">
        <x:f>IF(B129="","",IF(OR(J129="",K129=""),"DATA TIDAK LENGKAP",IF(OR(N129&gt;Parameter!$B$5*1.2,R129&gt;Parameter!$B$6*1.2,S129&gt;Parameter!$B$7*1.2,P129&gt;0),"OVER LIMIT",IF(OR(N129&gt;Parameter!$B$5,R129&gt;Parameter!$B$6,S129&gt;Parameter!$B$7),"WARNING","NORMAL"))))</x:f>
      </x:c>
      <x:c r="V129" s="182"/>
      <x:c r="W129" s="188"/>
    </x:row>
    <x:row r="130">
      <x:c r="A130" s="194" t="n">
        <x:f>ROW()-4</x:f>
        <x:v>126</x:v>
      </x:c>
      <x:c r="B130" s="142"/>
      <x:c r="C130" s="143"/>
      <x:c r="D130" s="143"/>
      <x:c r="E130" s="182"/>
      <x:c r="F130" s="182"/>
      <x:c r="G130" s="182"/>
      <x:c r="H130" s="144"/>
      <x:c r="I130" s="144"/>
      <x:c r="J130" s="200" t="str">
        <x:f>IF(OR(H130="",I130=""),"",MAX(0,I130-H130))</x:f>
      </x:c>
      <x:c r="K130" s="145"/>
      <x:c r="L130" s="145"/>
      <x:c r="M130" s="145"/>
      <x:c r="N130" s="145"/>
      <x:c r="O130" s="145"/>
      <x:c r="P130" s="209" t="str">
        <x:f>IF(OR(N130="",O130=""),"",MAX(0,N130-O130))</x:f>
      </x:c>
      <x:c r="Q130" s="209" t="str">
        <x:f>IF(L130="","",L130+IF(M130="",0,M130)-IF(N130="",0,N130))</x:f>
      </x:c>
      <x:c r="R130" s="210" t="str">
        <x:f>IF(OR(J130="",J130=0,N130=""),"",N130/J130)</x:f>
      </x:c>
      <x:c r="S130" s="210" t="str">
        <x:f>IF(OR(K130="",K130=0,N130=""),"",N130/K130*1000)</x:f>
      </x:c>
      <x:c r="T130" s="211" t="str">
        <x:f>IF(N130="","",N130*Parameter!$B$4)</x:f>
      </x:c>
      <x:c r="U130" s="212" t="str">
        <x:f>IF(B130="","",IF(OR(J130="",K130=""),"DATA TIDAK LENGKAP",IF(OR(N130&gt;Parameter!$B$5*1.2,R130&gt;Parameter!$B$6*1.2,S130&gt;Parameter!$B$7*1.2,P130&gt;0),"OVER LIMIT",IF(OR(N130&gt;Parameter!$B$5,R130&gt;Parameter!$B$6,S130&gt;Parameter!$B$7),"WARNING","NORMAL"))))</x:f>
      </x:c>
      <x:c r="V130" s="182"/>
      <x:c r="W130" s="188"/>
    </x:row>
    <x:row r="131">
      <x:c r="A131" s="194" t="n">
        <x:f>ROW()-4</x:f>
        <x:v>127</x:v>
      </x:c>
      <x:c r="B131" s="142"/>
      <x:c r="C131" s="143"/>
      <x:c r="D131" s="143"/>
      <x:c r="E131" s="182"/>
      <x:c r="F131" s="182"/>
      <x:c r="G131" s="182"/>
      <x:c r="H131" s="144"/>
      <x:c r="I131" s="144"/>
      <x:c r="J131" s="200" t="str">
        <x:f>IF(OR(H131="",I131=""),"",MAX(0,I131-H131))</x:f>
      </x:c>
      <x:c r="K131" s="145"/>
      <x:c r="L131" s="145"/>
      <x:c r="M131" s="145"/>
      <x:c r="N131" s="145"/>
      <x:c r="O131" s="145"/>
      <x:c r="P131" s="209" t="str">
        <x:f>IF(OR(N131="",O131=""),"",MAX(0,N131-O131))</x:f>
      </x:c>
      <x:c r="Q131" s="209" t="str">
        <x:f>IF(L131="","",L131+IF(M131="",0,M131)-IF(N131="",0,N131))</x:f>
      </x:c>
      <x:c r="R131" s="210" t="str">
        <x:f>IF(OR(J131="",J131=0,N131=""),"",N131/J131)</x:f>
      </x:c>
      <x:c r="S131" s="210" t="str">
        <x:f>IF(OR(K131="",K131=0,N131=""),"",N131/K131*1000)</x:f>
      </x:c>
      <x:c r="T131" s="211" t="str">
        <x:f>IF(N131="","",N131*Parameter!$B$4)</x:f>
      </x:c>
      <x:c r="U131" s="212" t="str">
        <x:f>IF(B131="","",IF(OR(J131="",K131=""),"DATA TIDAK LENGKAP",IF(OR(N131&gt;Parameter!$B$5*1.2,R131&gt;Parameter!$B$6*1.2,S131&gt;Parameter!$B$7*1.2,P131&gt;0),"OVER LIMIT",IF(OR(N131&gt;Parameter!$B$5,R131&gt;Parameter!$B$6,S131&gt;Parameter!$B$7),"WARNING","NORMAL"))))</x:f>
      </x:c>
      <x:c r="V131" s="182"/>
      <x:c r="W131" s="188"/>
    </x:row>
    <x:row r="132">
      <x:c r="A132" s="194" t="n">
        <x:f>ROW()-4</x:f>
        <x:v>128</x:v>
      </x:c>
      <x:c r="B132" s="142"/>
      <x:c r="C132" s="143"/>
      <x:c r="D132" s="143"/>
      <x:c r="E132" s="182"/>
      <x:c r="F132" s="182"/>
      <x:c r="G132" s="182"/>
      <x:c r="H132" s="144"/>
      <x:c r="I132" s="144"/>
      <x:c r="J132" s="200" t="str">
        <x:f>IF(OR(H132="",I132=""),"",MAX(0,I132-H132))</x:f>
      </x:c>
      <x:c r="K132" s="145"/>
      <x:c r="L132" s="145"/>
      <x:c r="M132" s="145"/>
      <x:c r="N132" s="145"/>
      <x:c r="O132" s="145"/>
      <x:c r="P132" s="209" t="str">
        <x:f>IF(OR(N132="",O132=""),"",MAX(0,N132-O132))</x:f>
      </x:c>
      <x:c r="Q132" s="209" t="str">
        <x:f>IF(L132="","",L132+IF(M132="",0,M132)-IF(N132="",0,N132))</x:f>
      </x:c>
      <x:c r="R132" s="210" t="str">
        <x:f>IF(OR(J132="",J132=0,N132=""),"",N132/J132)</x:f>
      </x:c>
      <x:c r="S132" s="210" t="str">
        <x:f>IF(OR(K132="",K132=0,N132=""),"",N132/K132*1000)</x:f>
      </x:c>
      <x:c r="T132" s="211" t="str">
        <x:f>IF(N132="","",N132*Parameter!$B$4)</x:f>
      </x:c>
      <x:c r="U132" s="212" t="str">
        <x:f>IF(B132="","",IF(OR(J132="",K132=""),"DATA TIDAK LENGKAP",IF(OR(N132&gt;Parameter!$B$5*1.2,R132&gt;Parameter!$B$6*1.2,S132&gt;Parameter!$B$7*1.2,P132&gt;0),"OVER LIMIT",IF(OR(N132&gt;Parameter!$B$5,R132&gt;Parameter!$B$6,S132&gt;Parameter!$B$7),"WARNING","NORMAL"))))</x:f>
      </x:c>
      <x:c r="V132" s="182"/>
      <x:c r="W132" s="188"/>
    </x:row>
    <x:row r="133">
      <x:c r="A133" s="194" t="n">
        <x:f>ROW()-4</x:f>
        <x:v>129</x:v>
      </x:c>
      <x:c r="B133" s="142"/>
      <x:c r="C133" s="143"/>
      <x:c r="D133" s="143"/>
      <x:c r="E133" s="182"/>
      <x:c r="F133" s="182"/>
      <x:c r="G133" s="182"/>
      <x:c r="H133" s="144"/>
      <x:c r="I133" s="144"/>
      <x:c r="J133" s="200" t="str">
        <x:f>IF(OR(H133="",I133=""),"",MAX(0,I133-H133))</x:f>
      </x:c>
      <x:c r="K133" s="145"/>
      <x:c r="L133" s="145"/>
      <x:c r="M133" s="145"/>
      <x:c r="N133" s="145"/>
      <x:c r="O133" s="145"/>
      <x:c r="P133" s="209" t="str">
        <x:f>IF(OR(N133="",O133=""),"",MAX(0,N133-O133))</x:f>
      </x:c>
      <x:c r="Q133" s="209" t="str">
        <x:f>IF(L133="","",L133+IF(M133="",0,M133)-IF(N133="",0,N133))</x:f>
      </x:c>
      <x:c r="R133" s="210" t="str">
        <x:f>IF(OR(J133="",J133=0,N133=""),"",N133/J133)</x:f>
      </x:c>
      <x:c r="S133" s="210" t="str">
        <x:f>IF(OR(K133="",K133=0,N133=""),"",N133/K133*1000)</x:f>
      </x:c>
      <x:c r="T133" s="211" t="str">
        <x:f>IF(N133="","",N133*Parameter!$B$4)</x:f>
      </x:c>
      <x:c r="U133" s="212" t="str">
        <x:f>IF(B133="","",IF(OR(J133="",K133=""),"DATA TIDAK LENGKAP",IF(OR(N133&gt;Parameter!$B$5*1.2,R133&gt;Parameter!$B$6*1.2,S133&gt;Parameter!$B$7*1.2,P133&gt;0),"OVER LIMIT",IF(OR(N133&gt;Parameter!$B$5,R133&gt;Parameter!$B$6,S133&gt;Parameter!$B$7),"WARNING","NORMAL"))))</x:f>
      </x:c>
      <x:c r="V133" s="182"/>
      <x:c r="W133" s="188"/>
    </x:row>
    <x:row r="134">
      <x:c r="A134" s="194" t="n">
        <x:f>ROW()-4</x:f>
        <x:v>130</x:v>
      </x:c>
      <x:c r="B134" s="142"/>
      <x:c r="C134" s="143"/>
      <x:c r="D134" s="143"/>
      <x:c r="E134" s="182"/>
      <x:c r="F134" s="182"/>
      <x:c r="G134" s="182"/>
      <x:c r="H134" s="144"/>
      <x:c r="I134" s="144"/>
      <x:c r="J134" s="200" t="str">
        <x:f>IF(OR(H134="",I134=""),"",MAX(0,I134-H134))</x:f>
      </x:c>
      <x:c r="K134" s="145"/>
      <x:c r="L134" s="145"/>
      <x:c r="M134" s="145"/>
      <x:c r="N134" s="145"/>
      <x:c r="O134" s="145"/>
      <x:c r="P134" s="209" t="str">
        <x:f>IF(OR(N134="",O134=""),"",MAX(0,N134-O134))</x:f>
      </x:c>
      <x:c r="Q134" s="209" t="str">
        <x:f>IF(L134="","",L134+IF(M134="",0,M134)-IF(N134="",0,N134))</x:f>
      </x:c>
      <x:c r="R134" s="210" t="str">
        <x:f>IF(OR(J134="",J134=0,N134=""),"",N134/J134)</x:f>
      </x:c>
      <x:c r="S134" s="210" t="str">
        <x:f>IF(OR(K134="",K134=0,N134=""),"",N134/K134*1000)</x:f>
      </x:c>
      <x:c r="T134" s="211" t="str">
        <x:f>IF(N134="","",N134*Parameter!$B$4)</x:f>
      </x:c>
      <x:c r="U134" s="212" t="str">
        <x:f>IF(B134="","",IF(OR(J134="",K134=""),"DATA TIDAK LENGKAP",IF(OR(N134&gt;Parameter!$B$5*1.2,R134&gt;Parameter!$B$6*1.2,S134&gt;Parameter!$B$7*1.2,P134&gt;0),"OVER LIMIT",IF(OR(N134&gt;Parameter!$B$5,R134&gt;Parameter!$B$6,S134&gt;Parameter!$B$7),"WARNING","NORMAL"))))</x:f>
      </x:c>
      <x:c r="V134" s="182"/>
      <x:c r="W134" s="188"/>
    </x:row>
    <x:row r="135">
      <x:c r="A135" s="194" t="n">
        <x:f>ROW()-4</x:f>
        <x:v>131</x:v>
      </x:c>
      <x:c r="B135" s="142"/>
      <x:c r="C135" s="143"/>
      <x:c r="D135" s="143"/>
      <x:c r="E135" s="182"/>
      <x:c r="F135" s="182"/>
      <x:c r="G135" s="182"/>
      <x:c r="H135" s="144"/>
      <x:c r="I135" s="144"/>
      <x:c r="J135" s="200" t="str">
        <x:f>IF(OR(H135="",I135=""),"",MAX(0,I135-H135))</x:f>
      </x:c>
      <x:c r="K135" s="145"/>
      <x:c r="L135" s="145"/>
      <x:c r="M135" s="145"/>
      <x:c r="N135" s="145"/>
      <x:c r="O135" s="145"/>
      <x:c r="P135" s="209" t="str">
        <x:f>IF(OR(N135="",O135=""),"",MAX(0,N135-O135))</x:f>
      </x:c>
      <x:c r="Q135" s="209" t="str">
        <x:f>IF(L135="","",L135+IF(M135="",0,M135)-IF(N135="",0,N135))</x:f>
      </x:c>
      <x:c r="R135" s="210" t="str">
        <x:f>IF(OR(J135="",J135=0,N135=""),"",N135/J135)</x:f>
      </x:c>
      <x:c r="S135" s="210" t="str">
        <x:f>IF(OR(K135="",K135=0,N135=""),"",N135/K135*1000)</x:f>
      </x:c>
      <x:c r="T135" s="211" t="str">
        <x:f>IF(N135="","",N135*Parameter!$B$4)</x:f>
      </x:c>
      <x:c r="U135" s="212" t="str">
        <x:f>IF(B135="","",IF(OR(J135="",K135=""),"DATA TIDAK LENGKAP",IF(OR(N135&gt;Parameter!$B$5*1.2,R135&gt;Parameter!$B$6*1.2,S135&gt;Parameter!$B$7*1.2,P135&gt;0),"OVER LIMIT",IF(OR(N135&gt;Parameter!$B$5,R135&gt;Parameter!$B$6,S135&gt;Parameter!$B$7),"WARNING","NORMAL"))))</x:f>
      </x:c>
      <x:c r="V135" s="182"/>
      <x:c r="W135" s="188"/>
    </x:row>
    <x:row r="136">
      <x:c r="A136" s="194" t="n">
        <x:f>ROW()-4</x:f>
        <x:v>132</x:v>
      </x:c>
      <x:c r="B136" s="142"/>
      <x:c r="C136" s="143"/>
      <x:c r="D136" s="143"/>
      <x:c r="E136" s="182"/>
      <x:c r="F136" s="182"/>
      <x:c r="G136" s="182"/>
      <x:c r="H136" s="144"/>
      <x:c r="I136" s="144"/>
      <x:c r="J136" s="200" t="str">
        <x:f>IF(OR(H136="",I136=""),"",MAX(0,I136-H136))</x:f>
      </x:c>
      <x:c r="K136" s="145"/>
      <x:c r="L136" s="145"/>
      <x:c r="M136" s="145"/>
      <x:c r="N136" s="145"/>
      <x:c r="O136" s="145"/>
      <x:c r="P136" s="209" t="str">
        <x:f>IF(OR(N136="",O136=""),"",MAX(0,N136-O136))</x:f>
      </x:c>
      <x:c r="Q136" s="209" t="str">
        <x:f>IF(L136="","",L136+IF(M136="",0,M136)-IF(N136="",0,N136))</x:f>
      </x:c>
      <x:c r="R136" s="210" t="str">
        <x:f>IF(OR(J136="",J136=0,N136=""),"",N136/J136)</x:f>
      </x:c>
      <x:c r="S136" s="210" t="str">
        <x:f>IF(OR(K136="",K136=0,N136=""),"",N136/K136*1000)</x:f>
      </x:c>
      <x:c r="T136" s="211" t="str">
        <x:f>IF(N136="","",N136*Parameter!$B$4)</x:f>
      </x:c>
      <x:c r="U136" s="212" t="str">
        <x:f>IF(B136="","",IF(OR(J136="",K136=""),"DATA TIDAK LENGKAP",IF(OR(N136&gt;Parameter!$B$5*1.2,R136&gt;Parameter!$B$6*1.2,S136&gt;Parameter!$B$7*1.2,P136&gt;0),"OVER LIMIT",IF(OR(N136&gt;Parameter!$B$5,R136&gt;Parameter!$B$6,S136&gt;Parameter!$B$7),"WARNING","NORMAL"))))</x:f>
      </x:c>
      <x:c r="V136" s="182"/>
      <x:c r="W136" s="188"/>
    </x:row>
    <x:row r="137">
      <x:c r="A137" s="194" t="n">
        <x:f>ROW()-4</x:f>
        <x:v>133</x:v>
      </x:c>
      <x:c r="B137" s="142"/>
      <x:c r="C137" s="143"/>
      <x:c r="D137" s="143"/>
      <x:c r="E137" s="182"/>
      <x:c r="F137" s="182"/>
      <x:c r="G137" s="182"/>
      <x:c r="H137" s="144"/>
      <x:c r="I137" s="144"/>
      <x:c r="J137" s="200" t="str">
        <x:f>IF(OR(H137="",I137=""),"",MAX(0,I137-H137))</x:f>
      </x:c>
      <x:c r="K137" s="145"/>
      <x:c r="L137" s="145"/>
      <x:c r="M137" s="145"/>
      <x:c r="N137" s="145"/>
      <x:c r="O137" s="145"/>
      <x:c r="P137" s="209" t="str">
        <x:f>IF(OR(N137="",O137=""),"",MAX(0,N137-O137))</x:f>
      </x:c>
      <x:c r="Q137" s="209" t="str">
        <x:f>IF(L137="","",L137+IF(M137="",0,M137)-IF(N137="",0,N137))</x:f>
      </x:c>
      <x:c r="R137" s="210" t="str">
        <x:f>IF(OR(J137="",J137=0,N137=""),"",N137/J137)</x:f>
      </x:c>
      <x:c r="S137" s="210" t="str">
        <x:f>IF(OR(K137="",K137=0,N137=""),"",N137/K137*1000)</x:f>
      </x:c>
      <x:c r="T137" s="211" t="str">
        <x:f>IF(N137="","",N137*Parameter!$B$4)</x:f>
      </x:c>
      <x:c r="U137" s="212" t="str">
        <x:f>IF(B137="","",IF(OR(J137="",K137=""),"DATA TIDAK LENGKAP",IF(OR(N137&gt;Parameter!$B$5*1.2,R137&gt;Parameter!$B$6*1.2,S137&gt;Parameter!$B$7*1.2,P137&gt;0),"OVER LIMIT",IF(OR(N137&gt;Parameter!$B$5,R137&gt;Parameter!$B$6,S137&gt;Parameter!$B$7),"WARNING","NORMAL"))))</x:f>
      </x:c>
      <x:c r="V137" s="182"/>
      <x:c r="W137" s="188"/>
    </x:row>
    <x:row r="138">
      <x:c r="A138" s="194" t="n">
        <x:f>ROW()-4</x:f>
        <x:v>134</x:v>
      </x:c>
      <x:c r="B138" s="142"/>
      <x:c r="C138" s="143"/>
      <x:c r="D138" s="143"/>
      <x:c r="E138" s="182"/>
      <x:c r="F138" s="182"/>
      <x:c r="G138" s="182"/>
      <x:c r="H138" s="144"/>
      <x:c r="I138" s="144"/>
      <x:c r="J138" s="200" t="str">
        <x:f>IF(OR(H138="",I138=""),"",MAX(0,I138-H138))</x:f>
      </x:c>
      <x:c r="K138" s="145"/>
      <x:c r="L138" s="145"/>
      <x:c r="M138" s="145"/>
      <x:c r="N138" s="145"/>
      <x:c r="O138" s="145"/>
      <x:c r="P138" s="209" t="str">
        <x:f>IF(OR(N138="",O138=""),"",MAX(0,N138-O138))</x:f>
      </x:c>
      <x:c r="Q138" s="209" t="str">
        <x:f>IF(L138="","",L138+IF(M138="",0,M138)-IF(N138="",0,N138))</x:f>
      </x:c>
      <x:c r="R138" s="210" t="str">
        <x:f>IF(OR(J138="",J138=0,N138=""),"",N138/J138)</x:f>
      </x:c>
      <x:c r="S138" s="210" t="str">
        <x:f>IF(OR(K138="",K138=0,N138=""),"",N138/K138*1000)</x:f>
      </x:c>
      <x:c r="T138" s="211" t="str">
        <x:f>IF(N138="","",N138*Parameter!$B$4)</x:f>
      </x:c>
      <x:c r="U138" s="212" t="str">
        <x:f>IF(B138="","",IF(OR(J138="",K138=""),"DATA TIDAK LENGKAP",IF(OR(N138&gt;Parameter!$B$5*1.2,R138&gt;Parameter!$B$6*1.2,S138&gt;Parameter!$B$7*1.2,P138&gt;0),"OVER LIMIT",IF(OR(N138&gt;Parameter!$B$5,R138&gt;Parameter!$B$6,S138&gt;Parameter!$B$7),"WARNING","NORMAL"))))</x:f>
      </x:c>
      <x:c r="V138" s="182"/>
      <x:c r="W138" s="188"/>
    </x:row>
    <x:row r="139">
      <x:c r="A139" s="194" t="n">
        <x:f>ROW()-4</x:f>
        <x:v>135</x:v>
      </x:c>
      <x:c r="B139" s="142"/>
      <x:c r="C139" s="143"/>
      <x:c r="D139" s="143"/>
      <x:c r="E139" s="182"/>
      <x:c r="F139" s="182"/>
      <x:c r="G139" s="182"/>
      <x:c r="H139" s="144"/>
      <x:c r="I139" s="144"/>
      <x:c r="J139" s="200" t="str">
        <x:f>IF(OR(H139="",I139=""),"",MAX(0,I139-H139))</x:f>
      </x:c>
      <x:c r="K139" s="145"/>
      <x:c r="L139" s="145"/>
      <x:c r="M139" s="145"/>
      <x:c r="N139" s="145"/>
      <x:c r="O139" s="145"/>
      <x:c r="P139" s="209" t="str">
        <x:f>IF(OR(N139="",O139=""),"",MAX(0,N139-O139))</x:f>
      </x:c>
      <x:c r="Q139" s="209" t="str">
        <x:f>IF(L139="","",L139+IF(M139="",0,M139)-IF(N139="",0,N139))</x:f>
      </x:c>
      <x:c r="R139" s="210" t="str">
        <x:f>IF(OR(J139="",J139=0,N139=""),"",N139/J139)</x:f>
      </x:c>
      <x:c r="S139" s="210" t="str">
        <x:f>IF(OR(K139="",K139=0,N139=""),"",N139/K139*1000)</x:f>
      </x:c>
      <x:c r="T139" s="211" t="str">
        <x:f>IF(N139="","",N139*Parameter!$B$4)</x:f>
      </x:c>
      <x:c r="U139" s="212" t="str">
        <x:f>IF(B139="","",IF(OR(J139="",K139=""),"DATA TIDAK LENGKAP",IF(OR(N139&gt;Parameter!$B$5*1.2,R139&gt;Parameter!$B$6*1.2,S139&gt;Parameter!$B$7*1.2,P139&gt;0),"OVER LIMIT",IF(OR(N139&gt;Parameter!$B$5,R139&gt;Parameter!$B$6,S139&gt;Parameter!$B$7),"WARNING","NORMAL"))))</x:f>
      </x:c>
      <x:c r="V139" s="182"/>
      <x:c r="W139" s="188"/>
    </x:row>
    <x:row r="140">
      <x:c r="A140" s="194" t="n">
        <x:f>ROW()-4</x:f>
        <x:v>136</x:v>
      </x:c>
      <x:c r="B140" s="142"/>
      <x:c r="C140" s="143"/>
      <x:c r="D140" s="143"/>
      <x:c r="E140" s="182"/>
      <x:c r="F140" s="182"/>
      <x:c r="G140" s="182"/>
      <x:c r="H140" s="144"/>
      <x:c r="I140" s="144"/>
      <x:c r="J140" s="200" t="str">
        <x:f>IF(OR(H140="",I140=""),"",MAX(0,I140-H140))</x:f>
      </x:c>
      <x:c r="K140" s="145"/>
      <x:c r="L140" s="145"/>
      <x:c r="M140" s="145"/>
      <x:c r="N140" s="145"/>
      <x:c r="O140" s="145"/>
      <x:c r="P140" s="209" t="str">
        <x:f>IF(OR(N140="",O140=""),"",MAX(0,N140-O140))</x:f>
      </x:c>
      <x:c r="Q140" s="209" t="str">
        <x:f>IF(L140="","",L140+IF(M140="",0,M140)-IF(N140="",0,N140))</x:f>
      </x:c>
      <x:c r="R140" s="210" t="str">
        <x:f>IF(OR(J140="",J140=0,N140=""),"",N140/J140)</x:f>
      </x:c>
      <x:c r="S140" s="210" t="str">
        <x:f>IF(OR(K140="",K140=0,N140=""),"",N140/K140*1000)</x:f>
      </x:c>
      <x:c r="T140" s="211" t="str">
        <x:f>IF(N140="","",N140*Parameter!$B$4)</x:f>
      </x:c>
      <x:c r="U140" s="212" t="str">
        <x:f>IF(B140="","",IF(OR(J140="",K140=""),"DATA TIDAK LENGKAP",IF(OR(N140&gt;Parameter!$B$5*1.2,R140&gt;Parameter!$B$6*1.2,S140&gt;Parameter!$B$7*1.2,P140&gt;0),"OVER LIMIT",IF(OR(N140&gt;Parameter!$B$5,R140&gt;Parameter!$B$6,S140&gt;Parameter!$B$7),"WARNING","NORMAL"))))</x:f>
      </x:c>
      <x:c r="V140" s="182"/>
      <x:c r="W140" s="188"/>
    </x:row>
    <x:row r="141">
      <x:c r="A141" s="194" t="n">
        <x:f>ROW()-4</x:f>
        <x:v>137</x:v>
      </x:c>
      <x:c r="B141" s="142"/>
      <x:c r="C141" s="143"/>
      <x:c r="D141" s="143"/>
      <x:c r="E141" s="182"/>
      <x:c r="F141" s="182"/>
      <x:c r="G141" s="182"/>
      <x:c r="H141" s="144"/>
      <x:c r="I141" s="144"/>
      <x:c r="J141" s="200" t="str">
        <x:f>IF(OR(H141="",I141=""),"",MAX(0,I141-H141))</x:f>
      </x:c>
      <x:c r="K141" s="145"/>
      <x:c r="L141" s="145"/>
      <x:c r="M141" s="145"/>
      <x:c r="N141" s="145"/>
      <x:c r="O141" s="145"/>
      <x:c r="P141" s="209" t="str">
        <x:f>IF(OR(N141="",O141=""),"",MAX(0,N141-O141))</x:f>
      </x:c>
      <x:c r="Q141" s="209" t="str">
        <x:f>IF(L141="","",L141+IF(M141="",0,M141)-IF(N141="",0,N141))</x:f>
      </x:c>
      <x:c r="R141" s="210" t="str">
        <x:f>IF(OR(J141="",J141=0,N141=""),"",N141/J141)</x:f>
      </x:c>
      <x:c r="S141" s="210" t="str">
        <x:f>IF(OR(K141="",K141=0,N141=""),"",N141/K141*1000)</x:f>
      </x:c>
      <x:c r="T141" s="211" t="str">
        <x:f>IF(N141="","",N141*Parameter!$B$4)</x:f>
      </x:c>
      <x:c r="U141" s="212" t="str">
        <x:f>IF(B141="","",IF(OR(J141="",K141=""),"DATA TIDAK LENGKAP",IF(OR(N141&gt;Parameter!$B$5*1.2,R141&gt;Parameter!$B$6*1.2,S141&gt;Parameter!$B$7*1.2,P141&gt;0),"OVER LIMIT",IF(OR(N141&gt;Parameter!$B$5,R141&gt;Parameter!$B$6,S141&gt;Parameter!$B$7),"WARNING","NORMAL"))))</x:f>
      </x:c>
      <x:c r="V141" s="182"/>
      <x:c r="W141" s="188"/>
    </x:row>
    <x:row r="142">
      <x:c r="A142" s="194" t="n">
        <x:f>ROW()-4</x:f>
        <x:v>138</x:v>
      </x:c>
      <x:c r="B142" s="142"/>
      <x:c r="C142" s="143"/>
      <x:c r="D142" s="143"/>
      <x:c r="E142" s="182"/>
      <x:c r="F142" s="182"/>
      <x:c r="G142" s="182"/>
      <x:c r="H142" s="144"/>
      <x:c r="I142" s="144"/>
      <x:c r="J142" s="200" t="str">
        <x:f>IF(OR(H142="",I142=""),"",MAX(0,I142-H142))</x:f>
      </x:c>
      <x:c r="K142" s="145"/>
      <x:c r="L142" s="145"/>
      <x:c r="M142" s="145"/>
      <x:c r="N142" s="145"/>
      <x:c r="O142" s="145"/>
      <x:c r="P142" s="209" t="str">
        <x:f>IF(OR(N142="",O142=""),"",MAX(0,N142-O142))</x:f>
      </x:c>
      <x:c r="Q142" s="209" t="str">
        <x:f>IF(L142="","",L142+IF(M142="",0,M142)-IF(N142="",0,N142))</x:f>
      </x:c>
      <x:c r="R142" s="210" t="str">
        <x:f>IF(OR(J142="",J142=0,N142=""),"",N142/J142)</x:f>
      </x:c>
      <x:c r="S142" s="210" t="str">
        <x:f>IF(OR(K142="",K142=0,N142=""),"",N142/K142*1000)</x:f>
      </x:c>
      <x:c r="T142" s="211" t="str">
        <x:f>IF(N142="","",N142*Parameter!$B$4)</x:f>
      </x:c>
      <x:c r="U142" s="212" t="str">
        <x:f>IF(B142="","",IF(OR(J142="",K142=""),"DATA TIDAK LENGKAP",IF(OR(N142&gt;Parameter!$B$5*1.2,R142&gt;Parameter!$B$6*1.2,S142&gt;Parameter!$B$7*1.2,P142&gt;0),"OVER LIMIT",IF(OR(N142&gt;Parameter!$B$5,R142&gt;Parameter!$B$6,S142&gt;Parameter!$B$7),"WARNING","NORMAL"))))</x:f>
      </x:c>
      <x:c r="V142" s="182"/>
      <x:c r="W142" s="188"/>
    </x:row>
    <x:row r="143">
      <x:c r="A143" s="194" t="n">
        <x:f>ROW()-4</x:f>
        <x:v>139</x:v>
      </x:c>
      <x:c r="B143" s="142"/>
      <x:c r="C143" s="143"/>
      <x:c r="D143" s="143"/>
      <x:c r="E143" s="182"/>
      <x:c r="F143" s="182"/>
      <x:c r="G143" s="182"/>
      <x:c r="H143" s="144"/>
      <x:c r="I143" s="144"/>
      <x:c r="J143" s="200" t="str">
        <x:f>IF(OR(H143="",I143=""),"",MAX(0,I143-H143))</x:f>
      </x:c>
      <x:c r="K143" s="145"/>
      <x:c r="L143" s="145"/>
      <x:c r="M143" s="145"/>
      <x:c r="N143" s="145"/>
      <x:c r="O143" s="145"/>
      <x:c r="P143" s="209" t="str">
        <x:f>IF(OR(N143="",O143=""),"",MAX(0,N143-O143))</x:f>
      </x:c>
      <x:c r="Q143" s="209" t="str">
        <x:f>IF(L143="","",L143+IF(M143="",0,M143)-IF(N143="",0,N143))</x:f>
      </x:c>
      <x:c r="R143" s="210" t="str">
        <x:f>IF(OR(J143="",J143=0,N143=""),"",N143/J143)</x:f>
      </x:c>
      <x:c r="S143" s="210" t="str">
        <x:f>IF(OR(K143="",K143=0,N143=""),"",N143/K143*1000)</x:f>
      </x:c>
      <x:c r="T143" s="211" t="str">
        <x:f>IF(N143="","",N143*Parameter!$B$4)</x:f>
      </x:c>
      <x:c r="U143" s="212" t="str">
        <x:f>IF(B143="","",IF(OR(J143="",K143=""),"DATA TIDAK LENGKAP",IF(OR(N143&gt;Parameter!$B$5*1.2,R143&gt;Parameter!$B$6*1.2,S143&gt;Parameter!$B$7*1.2,P143&gt;0),"OVER LIMIT",IF(OR(N143&gt;Parameter!$B$5,R143&gt;Parameter!$B$6,S143&gt;Parameter!$B$7),"WARNING","NORMAL"))))</x:f>
      </x:c>
      <x:c r="V143" s="182"/>
      <x:c r="W143" s="188"/>
    </x:row>
    <x:row r="144">
      <x:c r="A144" s="194" t="n">
        <x:f>ROW()-4</x:f>
        <x:v>140</x:v>
      </x:c>
      <x:c r="B144" s="142"/>
      <x:c r="C144" s="143"/>
      <x:c r="D144" s="143"/>
      <x:c r="E144" s="182"/>
      <x:c r="F144" s="182"/>
      <x:c r="G144" s="182"/>
      <x:c r="H144" s="144"/>
      <x:c r="I144" s="144"/>
      <x:c r="J144" s="200" t="str">
        <x:f>IF(OR(H144="",I144=""),"",MAX(0,I144-H144))</x:f>
      </x:c>
      <x:c r="K144" s="145"/>
      <x:c r="L144" s="145"/>
      <x:c r="M144" s="145"/>
      <x:c r="N144" s="145"/>
      <x:c r="O144" s="145"/>
      <x:c r="P144" s="209" t="str">
        <x:f>IF(OR(N144="",O144=""),"",MAX(0,N144-O144))</x:f>
      </x:c>
      <x:c r="Q144" s="209" t="str">
        <x:f>IF(L144="","",L144+IF(M144="",0,M144)-IF(N144="",0,N144))</x:f>
      </x:c>
      <x:c r="R144" s="210" t="str">
        <x:f>IF(OR(J144="",J144=0,N144=""),"",N144/J144)</x:f>
      </x:c>
      <x:c r="S144" s="210" t="str">
        <x:f>IF(OR(K144="",K144=0,N144=""),"",N144/K144*1000)</x:f>
      </x:c>
      <x:c r="T144" s="211" t="str">
        <x:f>IF(N144="","",N144*Parameter!$B$4)</x:f>
      </x:c>
      <x:c r="U144" s="212" t="str">
        <x:f>IF(B144="","",IF(OR(J144="",K144=""),"DATA TIDAK LENGKAP",IF(OR(N144&gt;Parameter!$B$5*1.2,R144&gt;Parameter!$B$6*1.2,S144&gt;Parameter!$B$7*1.2,P144&gt;0),"OVER LIMIT",IF(OR(N144&gt;Parameter!$B$5,R144&gt;Parameter!$B$6,S144&gt;Parameter!$B$7),"WARNING","NORMAL"))))</x:f>
      </x:c>
      <x:c r="V144" s="182"/>
      <x:c r="W144" s="188"/>
    </x:row>
    <x:row r="145">
      <x:c r="A145" s="194" t="n">
        <x:f>ROW()-4</x:f>
        <x:v>141</x:v>
      </x:c>
      <x:c r="B145" s="142"/>
      <x:c r="C145" s="143"/>
      <x:c r="D145" s="143"/>
      <x:c r="E145" s="182"/>
      <x:c r="F145" s="182"/>
      <x:c r="G145" s="182"/>
      <x:c r="H145" s="144"/>
      <x:c r="I145" s="144"/>
      <x:c r="J145" s="200" t="str">
        <x:f>IF(OR(H145="",I145=""),"",MAX(0,I145-H145))</x:f>
      </x:c>
      <x:c r="K145" s="145"/>
      <x:c r="L145" s="145"/>
      <x:c r="M145" s="145"/>
      <x:c r="N145" s="145"/>
      <x:c r="O145" s="145"/>
      <x:c r="P145" s="209" t="str">
        <x:f>IF(OR(N145="",O145=""),"",MAX(0,N145-O145))</x:f>
      </x:c>
      <x:c r="Q145" s="209" t="str">
        <x:f>IF(L145="","",L145+IF(M145="",0,M145)-IF(N145="",0,N145))</x:f>
      </x:c>
      <x:c r="R145" s="210" t="str">
        <x:f>IF(OR(J145="",J145=0,N145=""),"",N145/J145)</x:f>
      </x:c>
      <x:c r="S145" s="210" t="str">
        <x:f>IF(OR(K145="",K145=0,N145=""),"",N145/K145*1000)</x:f>
      </x:c>
      <x:c r="T145" s="211" t="str">
        <x:f>IF(N145="","",N145*Parameter!$B$4)</x:f>
      </x:c>
      <x:c r="U145" s="212" t="str">
        <x:f>IF(B145="","",IF(OR(J145="",K145=""),"DATA TIDAK LENGKAP",IF(OR(N145&gt;Parameter!$B$5*1.2,R145&gt;Parameter!$B$6*1.2,S145&gt;Parameter!$B$7*1.2,P145&gt;0),"OVER LIMIT",IF(OR(N145&gt;Parameter!$B$5,R145&gt;Parameter!$B$6,S145&gt;Parameter!$B$7),"WARNING","NORMAL"))))</x:f>
      </x:c>
      <x:c r="V145" s="182"/>
      <x:c r="W145" s="188"/>
    </x:row>
    <x:row r="146">
      <x:c r="A146" s="194" t="n">
        <x:f>ROW()-4</x:f>
        <x:v>142</x:v>
      </x:c>
      <x:c r="B146" s="142"/>
      <x:c r="C146" s="143"/>
      <x:c r="D146" s="143"/>
      <x:c r="E146" s="182"/>
      <x:c r="F146" s="182"/>
      <x:c r="G146" s="182"/>
      <x:c r="H146" s="144"/>
      <x:c r="I146" s="144"/>
      <x:c r="J146" s="200" t="str">
        <x:f>IF(OR(H146="",I146=""),"",MAX(0,I146-H146))</x:f>
      </x:c>
      <x:c r="K146" s="145"/>
      <x:c r="L146" s="145"/>
      <x:c r="M146" s="145"/>
      <x:c r="N146" s="145"/>
      <x:c r="O146" s="145"/>
      <x:c r="P146" s="209" t="str">
        <x:f>IF(OR(N146="",O146=""),"",MAX(0,N146-O146))</x:f>
      </x:c>
      <x:c r="Q146" s="209" t="str">
        <x:f>IF(L146="","",L146+IF(M146="",0,M146)-IF(N146="",0,N146))</x:f>
      </x:c>
      <x:c r="R146" s="210" t="str">
        <x:f>IF(OR(J146="",J146=0,N146=""),"",N146/J146)</x:f>
      </x:c>
      <x:c r="S146" s="210" t="str">
        <x:f>IF(OR(K146="",K146=0,N146=""),"",N146/K146*1000)</x:f>
      </x:c>
      <x:c r="T146" s="211" t="str">
        <x:f>IF(N146="","",N146*Parameter!$B$4)</x:f>
      </x:c>
      <x:c r="U146" s="212" t="str">
        <x:f>IF(B146="","",IF(OR(J146="",K146=""),"DATA TIDAK LENGKAP",IF(OR(N146&gt;Parameter!$B$5*1.2,R146&gt;Parameter!$B$6*1.2,S146&gt;Parameter!$B$7*1.2,P146&gt;0),"OVER LIMIT",IF(OR(N146&gt;Parameter!$B$5,R146&gt;Parameter!$B$6,S146&gt;Parameter!$B$7),"WARNING","NORMAL"))))</x:f>
      </x:c>
      <x:c r="V146" s="182"/>
      <x:c r="W146" s="188"/>
    </x:row>
    <x:row r="147">
      <x:c r="A147" s="194" t="n">
        <x:f>ROW()-4</x:f>
        <x:v>143</x:v>
      </x:c>
      <x:c r="B147" s="142"/>
      <x:c r="C147" s="143"/>
      <x:c r="D147" s="143"/>
      <x:c r="E147" s="182"/>
      <x:c r="F147" s="182"/>
      <x:c r="G147" s="182"/>
      <x:c r="H147" s="144"/>
      <x:c r="I147" s="144"/>
      <x:c r="J147" s="200" t="str">
        <x:f>IF(OR(H147="",I147=""),"",MAX(0,I147-H147))</x:f>
      </x:c>
      <x:c r="K147" s="145"/>
      <x:c r="L147" s="145"/>
      <x:c r="M147" s="145"/>
      <x:c r="N147" s="145"/>
      <x:c r="O147" s="145"/>
      <x:c r="P147" s="209" t="str">
        <x:f>IF(OR(N147="",O147=""),"",MAX(0,N147-O147))</x:f>
      </x:c>
      <x:c r="Q147" s="209" t="str">
        <x:f>IF(L147="","",L147+IF(M147="",0,M147)-IF(N147="",0,N147))</x:f>
      </x:c>
      <x:c r="R147" s="210" t="str">
        <x:f>IF(OR(J147="",J147=0,N147=""),"",N147/J147)</x:f>
      </x:c>
      <x:c r="S147" s="210" t="str">
        <x:f>IF(OR(K147="",K147=0,N147=""),"",N147/K147*1000)</x:f>
      </x:c>
      <x:c r="T147" s="211" t="str">
        <x:f>IF(N147="","",N147*Parameter!$B$4)</x:f>
      </x:c>
      <x:c r="U147" s="212" t="str">
        <x:f>IF(B147="","",IF(OR(J147="",K147=""),"DATA TIDAK LENGKAP",IF(OR(N147&gt;Parameter!$B$5*1.2,R147&gt;Parameter!$B$6*1.2,S147&gt;Parameter!$B$7*1.2,P147&gt;0),"OVER LIMIT",IF(OR(N147&gt;Parameter!$B$5,R147&gt;Parameter!$B$6,S147&gt;Parameter!$B$7),"WARNING","NORMAL"))))</x:f>
      </x:c>
      <x:c r="V147" s="182"/>
      <x:c r="W147" s="188"/>
    </x:row>
    <x:row r="148">
      <x:c r="A148" s="194" t="n">
        <x:f>ROW()-4</x:f>
        <x:v>144</x:v>
      </x:c>
      <x:c r="B148" s="142"/>
      <x:c r="C148" s="143"/>
      <x:c r="D148" s="143"/>
      <x:c r="E148" s="182"/>
      <x:c r="F148" s="182"/>
      <x:c r="G148" s="182"/>
      <x:c r="H148" s="144"/>
      <x:c r="I148" s="144"/>
      <x:c r="J148" s="200" t="str">
        <x:f>IF(OR(H148="",I148=""),"",MAX(0,I148-H148))</x:f>
      </x:c>
      <x:c r="K148" s="145"/>
      <x:c r="L148" s="145"/>
      <x:c r="M148" s="145"/>
      <x:c r="N148" s="145"/>
      <x:c r="O148" s="145"/>
      <x:c r="P148" s="209" t="str">
        <x:f>IF(OR(N148="",O148=""),"",MAX(0,N148-O148))</x:f>
      </x:c>
      <x:c r="Q148" s="209" t="str">
        <x:f>IF(L148="","",L148+IF(M148="",0,M148)-IF(N148="",0,N148))</x:f>
      </x:c>
      <x:c r="R148" s="210" t="str">
        <x:f>IF(OR(J148="",J148=0,N148=""),"",N148/J148)</x:f>
      </x:c>
      <x:c r="S148" s="210" t="str">
        <x:f>IF(OR(K148="",K148=0,N148=""),"",N148/K148*1000)</x:f>
      </x:c>
      <x:c r="T148" s="211" t="str">
        <x:f>IF(N148="","",N148*Parameter!$B$4)</x:f>
      </x:c>
      <x:c r="U148" s="212" t="str">
        <x:f>IF(B148="","",IF(OR(J148="",K148=""),"DATA TIDAK LENGKAP",IF(OR(N148&gt;Parameter!$B$5*1.2,R148&gt;Parameter!$B$6*1.2,S148&gt;Parameter!$B$7*1.2,P148&gt;0),"OVER LIMIT",IF(OR(N148&gt;Parameter!$B$5,R148&gt;Parameter!$B$6,S148&gt;Parameter!$B$7),"WARNING","NORMAL"))))</x:f>
      </x:c>
      <x:c r="V148" s="182"/>
      <x:c r="W148" s="188"/>
    </x:row>
    <x:row r="149">
      <x:c r="A149" s="194" t="n">
        <x:f>ROW()-4</x:f>
        <x:v>145</x:v>
      </x:c>
      <x:c r="B149" s="142"/>
      <x:c r="C149" s="143"/>
      <x:c r="D149" s="143"/>
      <x:c r="E149" s="182"/>
      <x:c r="F149" s="182"/>
      <x:c r="G149" s="182"/>
      <x:c r="H149" s="144"/>
      <x:c r="I149" s="144"/>
      <x:c r="J149" s="200" t="str">
        <x:f>IF(OR(H149="",I149=""),"",MAX(0,I149-H149))</x:f>
      </x:c>
      <x:c r="K149" s="145"/>
      <x:c r="L149" s="145"/>
      <x:c r="M149" s="145"/>
      <x:c r="N149" s="145"/>
      <x:c r="O149" s="145"/>
      <x:c r="P149" s="209" t="str">
        <x:f>IF(OR(N149="",O149=""),"",MAX(0,N149-O149))</x:f>
      </x:c>
      <x:c r="Q149" s="209" t="str">
        <x:f>IF(L149="","",L149+IF(M149="",0,M149)-IF(N149="",0,N149))</x:f>
      </x:c>
      <x:c r="R149" s="210" t="str">
        <x:f>IF(OR(J149="",J149=0,N149=""),"",N149/J149)</x:f>
      </x:c>
      <x:c r="S149" s="210" t="str">
        <x:f>IF(OR(K149="",K149=0,N149=""),"",N149/K149*1000)</x:f>
      </x:c>
      <x:c r="T149" s="211" t="str">
        <x:f>IF(N149="","",N149*Parameter!$B$4)</x:f>
      </x:c>
      <x:c r="U149" s="212" t="str">
        <x:f>IF(B149="","",IF(OR(J149="",K149=""),"DATA TIDAK LENGKAP",IF(OR(N149&gt;Parameter!$B$5*1.2,R149&gt;Parameter!$B$6*1.2,S149&gt;Parameter!$B$7*1.2,P149&gt;0),"OVER LIMIT",IF(OR(N149&gt;Parameter!$B$5,R149&gt;Parameter!$B$6,S149&gt;Parameter!$B$7),"WARNING","NORMAL"))))</x:f>
      </x:c>
      <x:c r="V149" s="182"/>
      <x:c r="W149" s="188"/>
    </x:row>
    <x:row r="150">
      <x:c r="A150" s="194" t="n">
        <x:f>ROW()-4</x:f>
        <x:v>146</x:v>
      </x:c>
      <x:c r="B150" s="142"/>
      <x:c r="C150" s="143"/>
      <x:c r="D150" s="143"/>
      <x:c r="E150" s="182"/>
      <x:c r="F150" s="182"/>
      <x:c r="G150" s="182"/>
      <x:c r="H150" s="144"/>
      <x:c r="I150" s="144"/>
      <x:c r="J150" s="200" t="str">
        <x:f>IF(OR(H150="",I150=""),"",MAX(0,I150-H150))</x:f>
      </x:c>
      <x:c r="K150" s="145"/>
      <x:c r="L150" s="145"/>
      <x:c r="M150" s="145"/>
      <x:c r="N150" s="145"/>
      <x:c r="O150" s="145"/>
      <x:c r="P150" s="209" t="str">
        <x:f>IF(OR(N150="",O150=""),"",MAX(0,N150-O150))</x:f>
      </x:c>
      <x:c r="Q150" s="209" t="str">
        <x:f>IF(L150="","",L150+IF(M150="",0,M150)-IF(N150="",0,N150))</x:f>
      </x:c>
      <x:c r="R150" s="210" t="str">
        <x:f>IF(OR(J150="",J150=0,N150=""),"",N150/J150)</x:f>
      </x:c>
      <x:c r="S150" s="210" t="str">
        <x:f>IF(OR(K150="",K150=0,N150=""),"",N150/K150*1000)</x:f>
      </x:c>
      <x:c r="T150" s="211" t="str">
        <x:f>IF(N150="","",N150*Parameter!$B$4)</x:f>
      </x:c>
      <x:c r="U150" s="212" t="str">
        <x:f>IF(B150="","",IF(OR(J150="",K150=""),"DATA TIDAK LENGKAP",IF(OR(N150&gt;Parameter!$B$5*1.2,R150&gt;Parameter!$B$6*1.2,S150&gt;Parameter!$B$7*1.2,P150&gt;0),"OVER LIMIT",IF(OR(N150&gt;Parameter!$B$5,R150&gt;Parameter!$B$6,S150&gt;Parameter!$B$7),"WARNING","NORMAL"))))</x:f>
      </x:c>
      <x:c r="V150" s="182"/>
      <x:c r="W150" s="188"/>
    </x:row>
    <x:row r="151">
      <x:c r="A151" s="194" t="n">
        <x:f>ROW()-4</x:f>
        <x:v>147</x:v>
      </x:c>
      <x:c r="B151" s="142"/>
      <x:c r="C151" s="143"/>
      <x:c r="D151" s="143"/>
      <x:c r="E151" s="182"/>
      <x:c r="F151" s="182"/>
      <x:c r="G151" s="182"/>
      <x:c r="H151" s="144"/>
      <x:c r="I151" s="144"/>
      <x:c r="J151" s="200" t="str">
        <x:f>IF(OR(H151="",I151=""),"",MAX(0,I151-H151))</x:f>
      </x:c>
      <x:c r="K151" s="145"/>
      <x:c r="L151" s="145"/>
      <x:c r="M151" s="145"/>
      <x:c r="N151" s="145"/>
      <x:c r="O151" s="145"/>
      <x:c r="P151" s="209" t="str">
        <x:f>IF(OR(N151="",O151=""),"",MAX(0,N151-O151))</x:f>
      </x:c>
      <x:c r="Q151" s="209" t="str">
        <x:f>IF(L151="","",L151+IF(M151="",0,M151)-IF(N151="",0,N151))</x:f>
      </x:c>
      <x:c r="R151" s="210" t="str">
        <x:f>IF(OR(J151="",J151=0,N151=""),"",N151/J151)</x:f>
      </x:c>
      <x:c r="S151" s="210" t="str">
        <x:f>IF(OR(K151="",K151=0,N151=""),"",N151/K151*1000)</x:f>
      </x:c>
      <x:c r="T151" s="211" t="str">
        <x:f>IF(N151="","",N151*Parameter!$B$4)</x:f>
      </x:c>
      <x:c r="U151" s="212" t="str">
        <x:f>IF(B151="","",IF(OR(J151="",K151=""),"DATA TIDAK LENGKAP",IF(OR(N151&gt;Parameter!$B$5*1.2,R151&gt;Parameter!$B$6*1.2,S151&gt;Parameter!$B$7*1.2,P151&gt;0),"OVER LIMIT",IF(OR(N151&gt;Parameter!$B$5,R151&gt;Parameter!$B$6,S151&gt;Parameter!$B$7),"WARNING","NORMAL"))))</x:f>
      </x:c>
      <x:c r="V151" s="182"/>
      <x:c r="W151" s="188"/>
    </x:row>
    <x:row r="152">
      <x:c r="A152" s="194" t="n">
        <x:f>ROW()-4</x:f>
        <x:v>148</x:v>
      </x:c>
      <x:c r="B152" s="142"/>
      <x:c r="C152" s="143"/>
      <x:c r="D152" s="143"/>
      <x:c r="E152" s="182"/>
      <x:c r="F152" s="182"/>
      <x:c r="G152" s="182"/>
      <x:c r="H152" s="144"/>
      <x:c r="I152" s="144"/>
      <x:c r="J152" s="200" t="str">
        <x:f>IF(OR(H152="",I152=""),"",MAX(0,I152-H152))</x:f>
      </x:c>
      <x:c r="K152" s="145"/>
      <x:c r="L152" s="145"/>
      <x:c r="M152" s="145"/>
      <x:c r="N152" s="145"/>
      <x:c r="O152" s="145"/>
      <x:c r="P152" s="209" t="str">
        <x:f>IF(OR(N152="",O152=""),"",MAX(0,N152-O152))</x:f>
      </x:c>
      <x:c r="Q152" s="209" t="str">
        <x:f>IF(L152="","",L152+IF(M152="",0,M152)-IF(N152="",0,N152))</x:f>
      </x:c>
      <x:c r="R152" s="210" t="str">
        <x:f>IF(OR(J152="",J152=0,N152=""),"",N152/J152)</x:f>
      </x:c>
      <x:c r="S152" s="210" t="str">
        <x:f>IF(OR(K152="",K152=0,N152=""),"",N152/K152*1000)</x:f>
      </x:c>
      <x:c r="T152" s="211" t="str">
        <x:f>IF(N152="","",N152*Parameter!$B$4)</x:f>
      </x:c>
      <x:c r="U152" s="212" t="str">
        <x:f>IF(B152="","",IF(OR(J152="",K152=""),"DATA TIDAK LENGKAP",IF(OR(N152&gt;Parameter!$B$5*1.2,R152&gt;Parameter!$B$6*1.2,S152&gt;Parameter!$B$7*1.2,P152&gt;0),"OVER LIMIT",IF(OR(N152&gt;Parameter!$B$5,R152&gt;Parameter!$B$6,S152&gt;Parameter!$B$7),"WARNING","NORMAL"))))</x:f>
      </x:c>
      <x:c r="V152" s="182"/>
      <x:c r="W152" s="188"/>
    </x:row>
    <x:row r="153">
      <x:c r="A153" s="194" t="n">
        <x:f>ROW()-4</x:f>
        <x:v>149</x:v>
      </x:c>
      <x:c r="B153" s="142"/>
      <x:c r="C153" s="143"/>
      <x:c r="D153" s="143"/>
      <x:c r="E153" s="182"/>
      <x:c r="F153" s="182"/>
      <x:c r="G153" s="182"/>
      <x:c r="H153" s="144"/>
      <x:c r="I153" s="144"/>
      <x:c r="J153" s="200" t="str">
        <x:f>IF(OR(H153="",I153=""),"",MAX(0,I153-H153))</x:f>
      </x:c>
      <x:c r="K153" s="145"/>
      <x:c r="L153" s="145"/>
      <x:c r="M153" s="145"/>
      <x:c r="N153" s="145"/>
      <x:c r="O153" s="145"/>
      <x:c r="P153" s="209" t="str">
        <x:f>IF(OR(N153="",O153=""),"",MAX(0,N153-O153))</x:f>
      </x:c>
      <x:c r="Q153" s="209" t="str">
        <x:f>IF(L153="","",L153+IF(M153="",0,M153)-IF(N153="",0,N153))</x:f>
      </x:c>
      <x:c r="R153" s="210" t="str">
        <x:f>IF(OR(J153="",J153=0,N153=""),"",N153/J153)</x:f>
      </x:c>
      <x:c r="S153" s="210" t="str">
        <x:f>IF(OR(K153="",K153=0,N153=""),"",N153/K153*1000)</x:f>
      </x:c>
      <x:c r="T153" s="211" t="str">
        <x:f>IF(N153="","",N153*Parameter!$B$4)</x:f>
      </x:c>
      <x:c r="U153" s="212" t="str">
        <x:f>IF(B153="","",IF(OR(J153="",K153=""),"DATA TIDAK LENGKAP",IF(OR(N153&gt;Parameter!$B$5*1.2,R153&gt;Parameter!$B$6*1.2,S153&gt;Parameter!$B$7*1.2,P153&gt;0),"OVER LIMIT",IF(OR(N153&gt;Parameter!$B$5,R153&gt;Parameter!$B$6,S153&gt;Parameter!$B$7),"WARNING","NORMAL"))))</x:f>
      </x:c>
      <x:c r="V153" s="182"/>
      <x:c r="W153" s="188"/>
    </x:row>
    <x:row r="154">
      <x:c r="A154" s="194" t="n">
        <x:f>ROW()-4</x:f>
        <x:v>150</x:v>
      </x:c>
      <x:c r="B154" s="142"/>
      <x:c r="C154" s="143"/>
      <x:c r="D154" s="143"/>
      <x:c r="E154" s="182"/>
      <x:c r="F154" s="182"/>
      <x:c r="G154" s="182"/>
      <x:c r="H154" s="144"/>
      <x:c r="I154" s="144"/>
      <x:c r="J154" s="200" t="str">
        <x:f>IF(OR(H154="",I154=""),"",MAX(0,I154-H154))</x:f>
      </x:c>
      <x:c r="K154" s="145"/>
      <x:c r="L154" s="145"/>
      <x:c r="M154" s="145"/>
      <x:c r="N154" s="145"/>
      <x:c r="O154" s="145"/>
      <x:c r="P154" s="209" t="str">
        <x:f>IF(OR(N154="",O154=""),"",MAX(0,N154-O154))</x:f>
      </x:c>
      <x:c r="Q154" s="209" t="str">
        <x:f>IF(L154="","",L154+IF(M154="",0,M154)-IF(N154="",0,N154))</x:f>
      </x:c>
      <x:c r="R154" s="210" t="str">
        <x:f>IF(OR(J154="",J154=0,N154=""),"",N154/J154)</x:f>
      </x:c>
      <x:c r="S154" s="210" t="str">
        <x:f>IF(OR(K154="",K154=0,N154=""),"",N154/K154*1000)</x:f>
      </x:c>
      <x:c r="T154" s="211" t="str">
        <x:f>IF(N154="","",N154*Parameter!$B$4)</x:f>
      </x:c>
      <x:c r="U154" s="212" t="str">
        <x:f>IF(B154="","",IF(OR(J154="",K154=""),"DATA TIDAK LENGKAP",IF(OR(N154&gt;Parameter!$B$5*1.2,R154&gt;Parameter!$B$6*1.2,S154&gt;Parameter!$B$7*1.2,P154&gt;0),"OVER LIMIT",IF(OR(N154&gt;Parameter!$B$5,R154&gt;Parameter!$B$6,S154&gt;Parameter!$B$7),"WARNING","NORMAL"))))</x:f>
      </x:c>
      <x:c r="V154" s="182"/>
      <x:c r="W154" s="188"/>
    </x:row>
    <x:row r="155">
      <x:c r="A155" s="194" t="n">
        <x:f>ROW()-4</x:f>
        <x:v>151</x:v>
      </x:c>
      <x:c r="B155" s="142"/>
      <x:c r="C155" s="143"/>
      <x:c r="D155" s="143"/>
      <x:c r="E155" s="182"/>
      <x:c r="F155" s="182"/>
      <x:c r="G155" s="182"/>
      <x:c r="H155" s="144"/>
      <x:c r="I155" s="144"/>
      <x:c r="J155" s="200" t="str">
        <x:f>IF(OR(H155="",I155=""),"",MAX(0,I155-H155))</x:f>
      </x:c>
      <x:c r="K155" s="145"/>
      <x:c r="L155" s="145"/>
      <x:c r="M155" s="145"/>
      <x:c r="N155" s="145"/>
      <x:c r="O155" s="145"/>
      <x:c r="P155" s="209" t="str">
        <x:f>IF(OR(N155="",O155=""),"",MAX(0,N155-O155))</x:f>
      </x:c>
      <x:c r="Q155" s="209" t="str">
        <x:f>IF(L155="","",L155+IF(M155="",0,M155)-IF(N155="",0,N155))</x:f>
      </x:c>
      <x:c r="R155" s="210" t="str">
        <x:f>IF(OR(J155="",J155=0,N155=""),"",N155/J155)</x:f>
      </x:c>
      <x:c r="S155" s="210" t="str">
        <x:f>IF(OR(K155="",K155=0,N155=""),"",N155/K155*1000)</x:f>
      </x:c>
      <x:c r="T155" s="211" t="str">
        <x:f>IF(N155="","",N155*Parameter!$B$4)</x:f>
      </x:c>
      <x:c r="U155" s="212" t="str">
        <x:f>IF(B155="","",IF(OR(J155="",K155=""),"DATA TIDAK LENGKAP",IF(OR(N155&gt;Parameter!$B$5*1.2,R155&gt;Parameter!$B$6*1.2,S155&gt;Parameter!$B$7*1.2,P155&gt;0),"OVER LIMIT",IF(OR(N155&gt;Parameter!$B$5,R155&gt;Parameter!$B$6,S155&gt;Parameter!$B$7),"WARNING","NORMAL"))))</x:f>
      </x:c>
      <x:c r="V155" s="182"/>
      <x:c r="W155" s="188"/>
    </x:row>
    <x:row r="156">
      <x:c r="A156" s="194" t="n">
        <x:f>ROW()-4</x:f>
        <x:v>152</x:v>
      </x:c>
      <x:c r="B156" s="142"/>
      <x:c r="C156" s="143"/>
      <x:c r="D156" s="143"/>
      <x:c r="E156" s="182"/>
      <x:c r="F156" s="182"/>
      <x:c r="G156" s="182"/>
      <x:c r="H156" s="144"/>
      <x:c r="I156" s="144"/>
      <x:c r="J156" s="200" t="str">
        <x:f>IF(OR(H156="",I156=""),"",MAX(0,I156-H156))</x:f>
      </x:c>
      <x:c r="K156" s="145"/>
      <x:c r="L156" s="145"/>
      <x:c r="M156" s="145"/>
      <x:c r="N156" s="145"/>
      <x:c r="O156" s="145"/>
      <x:c r="P156" s="209" t="str">
        <x:f>IF(OR(N156="",O156=""),"",MAX(0,N156-O156))</x:f>
      </x:c>
      <x:c r="Q156" s="209" t="str">
        <x:f>IF(L156="","",L156+IF(M156="",0,M156)-IF(N156="",0,N156))</x:f>
      </x:c>
      <x:c r="R156" s="210" t="str">
        <x:f>IF(OR(J156="",J156=0,N156=""),"",N156/J156)</x:f>
      </x:c>
      <x:c r="S156" s="210" t="str">
        <x:f>IF(OR(K156="",K156=0,N156=""),"",N156/K156*1000)</x:f>
      </x:c>
      <x:c r="T156" s="211" t="str">
        <x:f>IF(N156="","",N156*Parameter!$B$4)</x:f>
      </x:c>
      <x:c r="U156" s="212" t="str">
        <x:f>IF(B156="","",IF(OR(J156="",K156=""),"DATA TIDAK LENGKAP",IF(OR(N156&gt;Parameter!$B$5*1.2,R156&gt;Parameter!$B$6*1.2,S156&gt;Parameter!$B$7*1.2,P156&gt;0),"OVER LIMIT",IF(OR(N156&gt;Parameter!$B$5,R156&gt;Parameter!$B$6,S156&gt;Parameter!$B$7),"WARNING","NORMAL"))))</x:f>
      </x:c>
      <x:c r="V156" s="182"/>
      <x:c r="W156" s="188"/>
    </x:row>
    <x:row r="157">
      <x:c r="A157" s="194" t="n">
        <x:f>ROW()-4</x:f>
        <x:v>153</x:v>
      </x:c>
      <x:c r="B157" s="142"/>
      <x:c r="C157" s="143"/>
      <x:c r="D157" s="143"/>
      <x:c r="E157" s="182"/>
      <x:c r="F157" s="182"/>
      <x:c r="G157" s="182"/>
      <x:c r="H157" s="144"/>
      <x:c r="I157" s="144"/>
      <x:c r="J157" s="200" t="str">
        <x:f>IF(OR(H157="",I157=""),"",MAX(0,I157-H157))</x:f>
      </x:c>
      <x:c r="K157" s="145"/>
      <x:c r="L157" s="145"/>
      <x:c r="M157" s="145"/>
      <x:c r="N157" s="145"/>
      <x:c r="O157" s="145"/>
      <x:c r="P157" s="209" t="str">
        <x:f>IF(OR(N157="",O157=""),"",MAX(0,N157-O157))</x:f>
      </x:c>
      <x:c r="Q157" s="209" t="str">
        <x:f>IF(L157="","",L157+IF(M157="",0,M157)-IF(N157="",0,N157))</x:f>
      </x:c>
      <x:c r="R157" s="210" t="str">
        <x:f>IF(OR(J157="",J157=0,N157=""),"",N157/J157)</x:f>
      </x:c>
      <x:c r="S157" s="210" t="str">
        <x:f>IF(OR(K157="",K157=0,N157=""),"",N157/K157*1000)</x:f>
      </x:c>
      <x:c r="T157" s="211" t="str">
        <x:f>IF(N157="","",N157*Parameter!$B$4)</x:f>
      </x:c>
      <x:c r="U157" s="212" t="str">
        <x:f>IF(B157="","",IF(OR(J157="",K157=""),"DATA TIDAK LENGKAP",IF(OR(N157&gt;Parameter!$B$5*1.2,R157&gt;Parameter!$B$6*1.2,S157&gt;Parameter!$B$7*1.2,P157&gt;0),"OVER LIMIT",IF(OR(N157&gt;Parameter!$B$5,R157&gt;Parameter!$B$6,S157&gt;Parameter!$B$7),"WARNING","NORMAL"))))</x:f>
      </x:c>
      <x:c r="V157" s="182"/>
      <x:c r="W157" s="188"/>
    </x:row>
    <x:row r="158">
      <x:c r="A158" s="194" t="n">
        <x:f>ROW()-4</x:f>
        <x:v>154</x:v>
      </x:c>
      <x:c r="B158" s="142"/>
      <x:c r="C158" s="143"/>
      <x:c r="D158" s="143"/>
      <x:c r="E158" s="182"/>
      <x:c r="F158" s="182"/>
      <x:c r="G158" s="182"/>
      <x:c r="H158" s="144"/>
      <x:c r="I158" s="144"/>
      <x:c r="J158" s="200" t="str">
        <x:f>IF(OR(H158="",I158=""),"",MAX(0,I158-H158))</x:f>
      </x:c>
      <x:c r="K158" s="145"/>
      <x:c r="L158" s="145"/>
      <x:c r="M158" s="145"/>
      <x:c r="N158" s="145"/>
      <x:c r="O158" s="145"/>
      <x:c r="P158" s="209" t="str">
        <x:f>IF(OR(N158="",O158=""),"",MAX(0,N158-O158))</x:f>
      </x:c>
      <x:c r="Q158" s="209" t="str">
        <x:f>IF(L158="","",L158+IF(M158="",0,M158)-IF(N158="",0,N158))</x:f>
      </x:c>
      <x:c r="R158" s="210" t="str">
        <x:f>IF(OR(J158="",J158=0,N158=""),"",N158/J158)</x:f>
      </x:c>
      <x:c r="S158" s="210" t="str">
        <x:f>IF(OR(K158="",K158=0,N158=""),"",N158/K158*1000)</x:f>
      </x:c>
      <x:c r="T158" s="211" t="str">
        <x:f>IF(N158="","",N158*Parameter!$B$4)</x:f>
      </x:c>
      <x:c r="U158" s="212" t="str">
        <x:f>IF(B158="","",IF(OR(J158="",K158=""),"DATA TIDAK LENGKAP",IF(OR(N158&gt;Parameter!$B$5*1.2,R158&gt;Parameter!$B$6*1.2,S158&gt;Parameter!$B$7*1.2,P158&gt;0),"OVER LIMIT",IF(OR(N158&gt;Parameter!$B$5,R158&gt;Parameter!$B$6,S158&gt;Parameter!$B$7),"WARNING","NORMAL"))))</x:f>
      </x:c>
      <x:c r="V158" s="182"/>
      <x:c r="W158" s="188"/>
    </x:row>
    <x:row r="159">
      <x:c r="A159" s="194" t="n">
        <x:f>ROW()-4</x:f>
        <x:v>155</x:v>
      </x:c>
      <x:c r="B159" s="142"/>
      <x:c r="C159" s="143"/>
      <x:c r="D159" s="143"/>
      <x:c r="E159" s="182"/>
      <x:c r="F159" s="182"/>
      <x:c r="G159" s="182"/>
      <x:c r="H159" s="144"/>
      <x:c r="I159" s="144"/>
      <x:c r="J159" s="200" t="str">
        <x:f>IF(OR(H159="",I159=""),"",MAX(0,I159-H159))</x:f>
      </x:c>
      <x:c r="K159" s="145"/>
      <x:c r="L159" s="145"/>
      <x:c r="M159" s="145"/>
      <x:c r="N159" s="145"/>
      <x:c r="O159" s="145"/>
      <x:c r="P159" s="209" t="str">
        <x:f>IF(OR(N159="",O159=""),"",MAX(0,N159-O159))</x:f>
      </x:c>
      <x:c r="Q159" s="209" t="str">
        <x:f>IF(L159="","",L159+IF(M159="",0,M159)-IF(N159="",0,N159))</x:f>
      </x:c>
      <x:c r="R159" s="210" t="str">
        <x:f>IF(OR(J159="",J159=0,N159=""),"",N159/J159)</x:f>
      </x:c>
      <x:c r="S159" s="210" t="str">
        <x:f>IF(OR(K159="",K159=0,N159=""),"",N159/K159*1000)</x:f>
      </x:c>
      <x:c r="T159" s="211" t="str">
        <x:f>IF(N159="","",N159*Parameter!$B$4)</x:f>
      </x:c>
      <x:c r="U159" s="212" t="str">
        <x:f>IF(B159="","",IF(OR(J159="",K159=""),"DATA TIDAK LENGKAP",IF(OR(N159&gt;Parameter!$B$5*1.2,R159&gt;Parameter!$B$6*1.2,S159&gt;Parameter!$B$7*1.2,P159&gt;0),"OVER LIMIT",IF(OR(N159&gt;Parameter!$B$5,R159&gt;Parameter!$B$6,S159&gt;Parameter!$B$7),"WARNING","NORMAL"))))</x:f>
      </x:c>
      <x:c r="V159" s="182"/>
      <x:c r="W159" s="188"/>
    </x:row>
    <x:row r="160">
      <x:c r="A160" s="194" t="n">
        <x:f>ROW()-4</x:f>
        <x:v>156</x:v>
      </x:c>
      <x:c r="B160" s="142"/>
      <x:c r="C160" s="143"/>
      <x:c r="D160" s="143"/>
      <x:c r="E160" s="182"/>
      <x:c r="F160" s="182"/>
      <x:c r="G160" s="182"/>
      <x:c r="H160" s="144"/>
      <x:c r="I160" s="144"/>
      <x:c r="J160" s="200" t="str">
        <x:f>IF(OR(H160="",I160=""),"",MAX(0,I160-H160))</x:f>
      </x:c>
      <x:c r="K160" s="145"/>
      <x:c r="L160" s="145"/>
      <x:c r="M160" s="145"/>
      <x:c r="N160" s="145"/>
      <x:c r="O160" s="145"/>
      <x:c r="P160" s="209" t="str">
        <x:f>IF(OR(N160="",O160=""),"",MAX(0,N160-O160))</x:f>
      </x:c>
      <x:c r="Q160" s="209" t="str">
        <x:f>IF(L160="","",L160+IF(M160="",0,M160)-IF(N160="",0,N160))</x:f>
      </x:c>
      <x:c r="R160" s="210" t="str">
        <x:f>IF(OR(J160="",J160=0,N160=""),"",N160/J160)</x:f>
      </x:c>
      <x:c r="S160" s="210" t="str">
        <x:f>IF(OR(K160="",K160=0,N160=""),"",N160/K160*1000)</x:f>
      </x:c>
      <x:c r="T160" s="211" t="str">
        <x:f>IF(N160="","",N160*Parameter!$B$4)</x:f>
      </x:c>
      <x:c r="U160" s="212" t="str">
        <x:f>IF(B160="","",IF(OR(J160="",K160=""),"DATA TIDAK LENGKAP",IF(OR(N160&gt;Parameter!$B$5*1.2,R160&gt;Parameter!$B$6*1.2,S160&gt;Parameter!$B$7*1.2,P160&gt;0),"OVER LIMIT",IF(OR(N160&gt;Parameter!$B$5,R160&gt;Parameter!$B$6,S160&gt;Parameter!$B$7),"WARNING","NORMAL"))))</x:f>
      </x:c>
      <x:c r="V160" s="182"/>
      <x:c r="W160" s="188"/>
    </x:row>
    <x:row r="161">
      <x:c r="A161" s="194" t="n">
        <x:f>ROW()-4</x:f>
        <x:v>157</x:v>
      </x:c>
      <x:c r="B161" s="142"/>
      <x:c r="C161" s="143"/>
      <x:c r="D161" s="143"/>
      <x:c r="E161" s="182"/>
      <x:c r="F161" s="182"/>
      <x:c r="G161" s="182"/>
      <x:c r="H161" s="144"/>
      <x:c r="I161" s="144"/>
      <x:c r="J161" s="200" t="str">
        <x:f>IF(OR(H161="",I161=""),"",MAX(0,I161-H161))</x:f>
      </x:c>
      <x:c r="K161" s="145"/>
      <x:c r="L161" s="145"/>
      <x:c r="M161" s="145"/>
      <x:c r="N161" s="145"/>
      <x:c r="O161" s="145"/>
      <x:c r="P161" s="209" t="str">
        <x:f>IF(OR(N161="",O161=""),"",MAX(0,N161-O161))</x:f>
      </x:c>
      <x:c r="Q161" s="209" t="str">
        <x:f>IF(L161="","",L161+IF(M161="",0,M161)-IF(N161="",0,N161))</x:f>
      </x:c>
      <x:c r="R161" s="210" t="str">
        <x:f>IF(OR(J161="",J161=0,N161=""),"",N161/J161)</x:f>
      </x:c>
      <x:c r="S161" s="210" t="str">
        <x:f>IF(OR(K161="",K161=0,N161=""),"",N161/K161*1000)</x:f>
      </x:c>
      <x:c r="T161" s="211" t="str">
        <x:f>IF(N161="","",N161*Parameter!$B$4)</x:f>
      </x:c>
      <x:c r="U161" s="212" t="str">
        <x:f>IF(B161="","",IF(OR(J161="",K161=""),"DATA TIDAK LENGKAP",IF(OR(N161&gt;Parameter!$B$5*1.2,R161&gt;Parameter!$B$6*1.2,S161&gt;Parameter!$B$7*1.2,P161&gt;0),"OVER LIMIT",IF(OR(N161&gt;Parameter!$B$5,R161&gt;Parameter!$B$6,S161&gt;Parameter!$B$7),"WARNING","NORMAL"))))</x:f>
      </x:c>
      <x:c r="V161" s="182"/>
      <x:c r="W161" s="188"/>
    </x:row>
    <x:row r="162">
      <x:c r="A162" s="194" t="n">
        <x:f>ROW()-4</x:f>
        <x:v>158</x:v>
      </x:c>
      <x:c r="B162" s="142"/>
      <x:c r="C162" s="143"/>
      <x:c r="D162" s="143"/>
      <x:c r="E162" s="182"/>
      <x:c r="F162" s="182"/>
      <x:c r="G162" s="182"/>
      <x:c r="H162" s="144"/>
      <x:c r="I162" s="144"/>
      <x:c r="J162" s="200" t="str">
        <x:f>IF(OR(H162="",I162=""),"",MAX(0,I162-H162))</x:f>
      </x:c>
      <x:c r="K162" s="145"/>
      <x:c r="L162" s="145"/>
      <x:c r="M162" s="145"/>
      <x:c r="N162" s="145"/>
      <x:c r="O162" s="145"/>
      <x:c r="P162" s="209" t="str">
        <x:f>IF(OR(N162="",O162=""),"",MAX(0,N162-O162))</x:f>
      </x:c>
      <x:c r="Q162" s="209" t="str">
        <x:f>IF(L162="","",L162+IF(M162="",0,M162)-IF(N162="",0,N162))</x:f>
      </x:c>
      <x:c r="R162" s="210" t="str">
        <x:f>IF(OR(J162="",J162=0,N162=""),"",N162/J162)</x:f>
      </x:c>
      <x:c r="S162" s="210" t="str">
        <x:f>IF(OR(K162="",K162=0,N162=""),"",N162/K162*1000)</x:f>
      </x:c>
      <x:c r="T162" s="211" t="str">
        <x:f>IF(N162="","",N162*Parameter!$B$4)</x:f>
      </x:c>
      <x:c r="U162" s="212" t="str">
        <x:f>IF(B162="","",IF(OR(J162="",K162=""),"DATA TIDAK LENGKAP",IF(OR(N162&gt;Parameter!$B$5*1.2,R162&gt;Parameter!$B$6*1.2,S162&gt;Parameter!$B$7*1.2,P162&gt;0),"OVER LIMIT",IF(OR(N162&gt;Parameter!$B$5,R162&gt;Parameter!$B$6,S162&gt;Parameter!$B$7),"WARNING","NORMAL"))))</x:f>
      </x:c>
      <x:c r="V162" s="182"/>
      <x:c r="W162" s="188"/>
    </x:row>
    <x:row r="163">
      <x:c r="A163" s="194" t="n">
        <x:f>ROW()-4</x:f>
        <x:v>159</x:v>
      </x:c>
      <x:c r="B163" s="142"/>
      <x:c r="C163" s="143"/>
      <x:c r="D163" s="143"/>
      <x:c r="E163" s="182"/>
      <x:c r="F163" s="182"/>
      <x:c r="G163" s="182"/>
      <x:c r="H163" s="144"/>
      <x:c r="I163" s="144"/>
      <x:c r="J163" s="200" t="str">
        <x:f>IF(OR(H163="",I163=""),"",MAX(0,I163-H163))</x:f>
      </x:c>
      <x:c r="K163" s="145"/>
      <x:c r="L163" s="145"/>
      <x:c r="M163" s="145"/>
      <x:c r="N163" s="145"/>
      <x:c r="O163" s="145"/>
      <x:c r="P163" s="209" t="str">
        <x:f>IF(OR(N163="",O163=""),"",MAX(0,N163-O163))</x:f>
      </x:c>
      <x:c r="Q163" s="209" t="str">
        <x:f>IF(L163="","",L163+IF(M163="",0,M163)-IF(N163="",0,N163))</x:f>
      </x:c>
      <x:c r="R163" s="210" t="str">
        <x:f>IF(OR(J163="",J163=0,N163=""),"",N163/J163)</x:f>
      </x:c>
      <x:c r="S163" s="210" t="str">
        <x:f>IF(OR(K163="",K163=0,N163=""),"",N163/K163*1000)</x:f>
      </x:c>
      <x:c r="T163" s="211" t="str">
        <x:f>IF(N163="","",N163*Parameter!$B$4)</x:f>
      </x:c>
      <x:c r="U163" s="212" t="str">
        <x:f>IF(B163="","",IF(OR(J163="",K163=""),"DATA TIDAK LENGKAP",IF(OR(N163&gt;Parameter!$B$5*1.2,R163&gt;Parameter!$B$6*1.2,S163&gt;Parameter!$B$7*1.2,P163&gt;0),"OVER LIMIT",IF(OR(N163&gt;Parameter!$B$5,R163&gt;Parameter!$B$6,S163&gt;Parameter!$B$7),"WARNING","NORMAL"))))</x:f>
      </x:c>
      <x:c r="V163" s="182"/>
      <x:c r="W163" s="188"/>
    </x:row>
    <x:row r="164">
      <x:c r="A164" s="194" t="n">
        <x:f>ROW()-4</x:f>
        <x:v>160</x:v>
      </x:c>
      <x:c r="B164" s="142"/>
      <x:c r="C164" s="143"/>
      <x:c r="D164" s="143"/>
      <x:c r="E164" s="182"/>
      <x:c r="F164" s="182"/>
      <x:c r="G164" s="182"/>
      <x:c r="H164" s="144"/>
      <x:c r="I164" s="144"/>
      <x:c r="J164" s="200" t="str">
        <x:f>IF(OR(H164="",I164=""),"",MAX(0,I164-H164))</x:f>
      </x:c>
      <x:c r="K164" s="145"/>
      <x:c r="L164" s="145"/>
      <x:c r="M164" s="145"/>
      <x:c r="N164" s="145"/>
      <x:c r="O164" s="145"/>
      <x:c r="P164" s="209" t="str">
        <x:f>IF(OR(N164="",O164=""),"",MAX(0,N164-O164))</x:f>
      </x:c>
      <x:c r="Q164" s="209" t="str">
        <x:f>IF(L164="","",L164+IF(M164="",0,M164)-IF(N164="",0,N164))</x:f>
      </x:c>
      <x:c r="R164" s="210" t="str">
        <x:f>IF(OR(J164="",J164=0,N164=""),"",N164/J164)</x:f>
      </x:c>
      <x:c r="S164" s="210" t="str">
        <x:f>IF(OR(K164="",K164=0,N164=""),"",N164/K164*1000)</x:f>
      </x:c>
      <x:c r="T164" s="211" t="str">
        <x:f>IF(N164="","",N164*Parameter!$B$4)</x:f>
      </x:c>
      <x:c r="U164" s="212" t="str">
        <x:f>IF(B164="","",IF(OR(J164="",K164=""),"DATA TIDAK LENGKAP",IF(OR(N164&gt;Parameter!$B$5*1.2,R164&gt;Parameter!$B$6*1.2,S164&gt;Parameter!$B$7*1.2,P164&gt;0),"OVER LIMIT",IF(OR(N164&gt;Parameter!$B$5,R164&gt;Parameter!$B$6,S164&gt;Parameter!$B$7),"WARNING","NORMAL"))))</x:f>
      </x:c>
      <x:c r="V164" s="182"/>
      <x:c r="W164" s="188"/>
    </x:row>
    <x:row r="165">
      <x:c r="A165" s="194" t="n">
        <x:f>ROW()-4</x:f>
        <x:v>161</x:v>
      </x:c>
      <x:c r="B165" s="142"/>
      <x:c r="C165" s="143"/>
      <x:c r="D165" s="143"/>
      <x:c r="E165" s="182"/>
      <x:c r="F165" s="182"/>
      <x:c r="G165" s="182"/>
      <x:c r="H165" s="144"/>
      <x:c r="I165" s="144"/>
      <x:c r="J165" s="200" t="str">
        <x:f>IF(OR(H165="",I165=""),"",MAX(0,I165-H165))</x:f>
      </x:c>
      <x:c r="K165" s="145"/>
      <x:c r="L165" s="145"/>
      <x:c r="M165" s="145"/>
      <x:c r="N165" s="145"/>
      <x:c r="O165" s="145"/>
      <x:c r="P165" s="209" t="str">
        <x:f>IF(OR(N165="",O165=""),"",MAX(0,N165-O165))</x:f>
      </x:c>
      <x:c r="Q165" s="209" t="str">
        <x:f>IF(L165="","",L165+IF(M165="",0,M165)-IF(N165="",0,N165))</x:f>
      </x:c>
      <x:c r="R165" s="210" t="str">
        <x:f>IF(OR(J165="",J165=0,N165=""),"",N165/J165)</x:f>
      </x:c>
      <x:c r="S165" s="210" t="str">
        <x:f>IF(OR(K165="",K165=0,N165=""),"",N165/K165*1000)</x:f>
      </x:c>
      <x:c r="T165" s="211" t="str">
        <x:f>IF(N165="","",N165*Parameter!$B$4)</x:f>
      </x:c>
      <x:c r="U165" s="212" t="str">
        <x:f>IF(B165="","",IF(OR(J165="",K165=""),"DATA TIDAK LENGKAP",IF(OR(N165&gt;Parameter!$B$5*1.2,R165&gt;Parameter!$B$6*1.2,S165&gt;Parameter!$B$7*1.2,P165&gt;0),"OVER LIMIT",IF(OR(N165&gt;Parameter!$B$5,R165&gt;Parameter!$B$6,S165&gt;Parameter!$B$7),"WARNING","NORMAL"))))</x:f>
      </x:c>
      <x:c r="V165" s="182"/>
      <x:c r="W165" s="188"/>
    </x:row>
    <x:row r="166">
      <x:c r="A166" s="194" t="n">
        <x:f>ROW()-4</x:f>
        <x:v>162</x:v>
      </x:c>
      <x:c r="B166" s="142"/>
      <x:c r="C166" s="143"/>
      <x:c r="D166" s="143"/>
      <x:c r="E166" s="182"/>
      <x:c r="F166" s="182"/>
      <x:c r="G166" s="182"/>
      <x:c r="H166" s="144"/>
      <x:c r="I166" s="144"/>
      <x:c r="J166" s="200" t="str">
        <x:f>IF(OR(H166="",I166=""),"",MAX(0,I166-H166))</x:f>
      </x:c>
      <x:c r="K166" s="145"/>
      <x:c r="L166" s="145"/>
      <x:c r="M166" s="145"/>
      <x:c r="N166" s="145"/>
      <x:c r="O166" s="145"/>
      <x:c r="P166" s="209" t="str">
        <x:f>IF(OR(N166="",O166=""),"",MAX(0,N166-O166))</x:f>
      </x:c>
      <x:c r="Q166" s="209" t="str">
        <x:f>IF(L166="","",L166+IF(M166="",0,M166)-IF(N166="",0,N166))</x:f>
      </x:c>
      <x:c r="R166" s="210" t="str">
        <x:f>IF(OR(J166="",J166=0,N166=""),"",N166/J166)</x:f>
      </x:c>
      <x:c r="S166" s="210" t="str">
        <x:f>IF(OR(K166="",K166=0,N166=""),"",N166/K166*1000)</x:f>
      </x:c>
      <x:c r="T166" s="211" t="str">
        <x:f>IF(N166="","",N166*Parameter!$B$4)</x:f>
      </x:c>
      <x:c r="U166" s="212" t="str">
        <x:f>IF(B166="","",IF(OR(J166="",K166=""),"DATA TIDAK LENGKAP",IF(OR(N166&gt;Parameter!$B$5*1.2,R166&gt;Parameter!$B$6*1.2,S166&gt;Parameter!$B$7*1.2,P166&gt;0),"OVER LIMIT",IF(OR(N166&gt;Parameter!$B$5,R166&gt;Parameter!$B$6,S166&gt;Parameter!$B$7),"WARNING","NORMAL"))))</x:f>
      </x:c>
      <x:c r="V166" s="182"/>
      <x:c r="W166" s="188"/>
    </x:row>
    <x:row r="167">
      <x:c r="A167" s="194" t="n">
        <x:f>ROW()-4</x:f>
        <x:v>163</x:v>
      </x:c>
      <x:c r="B167" s="142"/>
      <x:c r="C167" s="143"/>
      <x:c r="D167" s="143"/>
      <x:c r="E167" s="182"/>
      <x:c r="F167" s="182"/>
      <x:c r="G167" s="182"/>
      <x:c r="H167" s="144"/>
      <x:c r="I167" s="144"/>
      <x:c r="J167" s="200" t="str">
        <x:f>IF(OR(H167="",I167=""),"",MAX(0,I167-H167))</x:f>
      </x:c>
      <x:c r="K167" s="145"/>
      <x:c r="L167" s="145"/>
      <x:c r="M167" s="145"/>
      <x:c r="N167" s="145"/>
      <x:c r="O167" s="145"/>
      <x:c r="P167" s="209" t="str">
        <x:f>IF(OR(N167="",O167=""),"",MAX(0,N167-O167))</x:f>
      </x:c>
      <x:c r="Q167" s="209" t="str">
        <x:f>IF(L167="","",L167+IF(M167="",0,M167)-IF(N167="",0,N167))</x:f>
      </x:c>
      <x:c r="R167" s="210" t="str">
        <x:f>IF(OR(J167="",J167=0,N167=""),"",N167/J167)</x:f>
      </x:c>
      <x:c r="S167" s="210" t="str">
        <x:f>IF(OR(K167="",K167=0,N167=""),"",N167/K167*1000)</x:f>
      </x:c>
      <x:c r="T167" s="211" t="str">
        <x:f>IF(N167="","",N167*Parameter!$B$4)</x:f>
      </x:c>
      <x:c r="U167" s="212" t="str">
        <x:f>IF(B167="","",IF(OR(J167="",K167=""),"DATA TIDAK LENGKAP",IF(OR(N167&gt;Parameter!$B$5*1.2,R167&gt;Parameter!$B$6*1.2,S167&gt;Parameter!$B$7*1.2,P167&gt;0),"OVER LIMIT",IF(OR(N167&gt;Parameter!$B$5,R167&gt;Parameter!$B$6,S167&gt;Parameter!$B$7),"WARNING","NORMAL"))))</x:f>
      </x:c>
      <x:c r="V167" s="182"/>
      <x:c r="W167" s="188"/>
    </x:row>
    <x:row r="168">
      <x:c r="A168" s="194" t="n">
        <x:f>ROW()-4</x:f>
        <x:v>164</x:v>
      </x:c>
      <x:c r="B168" s="142"/>
      <x:c r="C168" s="143"/>
      <x:c r="D168" s="143"/>
      <x:c r="E168" s="182"/>
      <x:c r="F168" s="182"/>
      <x:c r="G168" s="182"/>
      <x:c r="H168" s="144"/>
      <x:c r="I168" s="144"/>
      <x:c r="J168" s="200" t="str">
        <x:f>IF(OR(H168="",I168=""),"",MAX(0,I168-H168))</x:f>
      </x:c>
      <x:c r="K168" s="145"/>
      <x:c r="L168" s="145"/>
      <x:c r="M168" s="145"/>
      <x:c r="N168" s="145"/>
      <x:c r="O168" s="145"/>
      <x:c r="P168" s="209" t="str">
        <x:f>IF(OR(N168="",O168=""),"",MAX(0,N168-O168))</x:f>
      </x:c>
      <x:c r="Q168" s="209" t="str">
        <x:f>IF(L168="","",L168+IF(M168="",0,M168)-IF(N168="",0,N168))</x:f>
      </x:c>
      <x:c r="R168" s="210" t="str">
        <x:f>IF(OR(J168="",J168=0,N168=""),"",N168/J168)</x:f>
      </x:c>
      <x:c r="S168" s="210" t="str">
        <x:f>IF(OR(K168="",K168=0,N168=""),"",N168/K168*1000)</x:f>
      </x:c>
      <x:c r="T168" s="211" t="str">
        <x:f>IF(N168="","",N168*Parameter!$B$4)</x:f>
      </x:c>
      <x:c r="U168" s="212" t="str">
        <x:f>IF(B168="","",IF(OR(J168="",K168=""),"DATA TIDAK LENGKAP",IF(OR(N168&gt;Parameter!$B$5*1.2,R168&gt;Parameter!$B$6*1.2,S168&gt;Parameter!$B$7*1.2,P168&gt;0),"OVER LIMIT",IF(OR(N168&gt;Parameter!$B$5,R168&gt;Parameter!$B$6,S168&gt;Parameter!$B$7),"WARNING","NORMAL"))))</x:f>
      </x:c>
      <x:c r="V168" s="182"/>
      <x:c r="W168" s="188"/>
    </x:row>
    <x:row r="169">
      <x:c r="A169" s="194" t="n">
        <x:f>ROW()-4</x:f>
        <x:v>165</x:v>
      </x:c>
      <x:c r="B169" s="142"/>
      <x:c r="C169" s="143"/>
      <x:c r="D169" s="143"/>
      <x:c r="E169" s="182"/>
      <x:c r="F169" s="182"/>
      <x:c r="G169" s="182"/>
      <x:c r="H169" s="144"/>
      <x:c r="I169" s="144"/>
      <x:c r="J169" s="200" t="str">
        <x:f>IF(OR(H169="",I169=""),"",MAX(0,I169-H169))</x:f>
      </x:c>
      <x:c r="K169" s="145"/>
      <x:c r="L169" s="145"/>
      <x:c r="M169" s="145"/>
      <x:c r="N169" s="145"/>
      <x:c r="O169" s="145"/>
      <x:c r="P169" s="209" t="str">
        <x:f>IF(OR(N169="",O169=""),"",MAX(0,N169-O169))</x:f>
      </x:c>
      <x:c r="Q169" s="209" t="str">
        <x:f>IF(L169="","",L169+IF(M169="",0,M169)-IF(N169="",0,N169))</x:f>
      </x:c>
      <x:c r="R169" s="210" t="str">
        <x:f>IF(OR(J169="",J169=0,N169=""),"",N169/J169)</x:f>
      </x:c>
      <x:c r="S169" s="210" t="str">
        <x:f>IF(OR(K169="",K169=0,N169=""),"",N169/K169*1000)</x:f>
      </x:c>
      <x:c r="T169" s="211" t="str">
        <x:f>IF(N169="","",N169*Parameter!$B$4)</x:f>
      </x:c>
      <x:c r="U169" s="212" t="str">
        <x:f>IF(B169="","",IF(OR(J169="",K169=""),"DATA TIDAK LENGKAP",IF(OR(N169&gt;Parameter!$B$5*1.2,R169&gt;Parameter!$B$6*1.2,S169&gt;Parameter!$B$7*1.2,P169&gt;0),"OVER LIMIT",IF(OR(N169&gt;Parameter!$B$5,R169&gt;Parameter!$B$6,S169&gt;Parameter!$B$7),"WARNING","NORMAL"))))</x:f>
      </x:c>
      <x:c r="V169" s="182"/>
      <x:c r="W169" s="188"/>
    </x:row>
    <x:row r="170">
      <x:c r="A170" s="194" t="n">
        <x:f>ROW()-4</x:f>
        <x:v>166</x:v>
      </x:c>
      <x:c r="B170" s="142"/>
      <x:c r="C170" s="143"/>
      <x:c r="D170" s="143"/>
      <x:c r="E170" s="182"/>
      <x:c r="F170" s="182"/>
      <x:c r="G170" s="182"/>
      <x:c r="H170" s="144"/>
      <x:c r="I170" s="144"/>
      <x:c r="J170" s="200" t="str">
        <x:f>IF(OR(H170="",I170=""),"",MAX(0,I170-H170))</x:f>
      </x:c>
      <x:c r="K170" s="145"/>
      <x:c r="L170" s="145"/>
      <x:c r="M170" s="145"/>
      <x:c r="N170" s="145"/>
      <x:c r="O170" s="145"/>
      <x:c r="P170" s="209" t="str">
        <x:f>IF(OR(N170="",O170=""),"",MAX(0,N170-O170))</x:f>
      </x:c>
      <x:c r="Q170" s="209" t="str">
        <x:f>IF(L170="","",L170+IF(M170="",0,M170)-IF(N170="",0,N170))</x:f>
      </x:c>
      <x:c r="R170" s="210" t="str">
        <x:f>IF(OR(J170="",J170=0,N170=""),"",N170/J170)</x:f>
      </x:c>
      <x:c r="S170" s="210" t="str">
        <x:f>IF(OR(K170="",K170=0,N170=""),"",N170/K170*1000)</x:f>
      </x:c>
      <x:c r="T170" s="211" t="str">
        <x:f>IF(N170="","",N170*Parameter!$B$4)</x:f>
      </x:c>
      <x:c r="U170" s="212" t="str">
        <x:f>IF(B170="","",IF(OR(J170="",K170=""),"DATA TIDAK LENGKAP",IF(OR(N170&gt;Parameter!$B$5*1.2,R170&gt;Parameter!$B$6*1.2,S170&gt;Parameter!$B$7*1.2,P170&gt;0),"OVER LIMIT",IF(OR(N170&gt;Parameter!$B$5,R170&gt;Parameter!$B$6,S170&gt;Parameter!$B$7),"WARNING","NORMAL"))))</x:f>
      </x:c>
      <x:c r="V170" s="182"/>
      <x:c r="W170" s="188"/>
    </x:row>
    <x:row r="171">
      <x:c r="A171" s="194" t="n">
        <x:f>ROW()-4</x:f>
        <x:v>167</x:v>
      </x:c>
      <x:c r="B171" s="142"/>
      <x:c r="C171" s="143"/>
      <x:c r="D171" s="143"/>
      <x:c r="E171" s="182"/>
      <x:c r="F171" s="182"/>
      <x:c r="G171" s="182"/>
      <x:c r="H171" s="144"/>
      <x:c r="I171" s="144"/>
      <x:c r="J171" s="200" t="str">
        <x:f>IF(OR(H171="",I171=""),"",MAX(0,I171-H171))</x:f>
      </x:c>
      <x:c r="K171" s="145"/>
      <x:c r="L171" s="145"/>
      <x:c r="M171" s="145"/>
      <x:c r="N171" s="145"/>
      <x:c r="O171" s="145"/>
      <x:c r="P171" s="209" t="str">
        <x:f>IF(OR(N171="",O171=""),"",MAX(0,N171-O171))</x:f>
      </x:c>
      <x:c r="Q171" s="209" t="str">
        <x:f>IF(L171="","",L171+IF(M171="",0,M171)-IF(N171="",0,N171))</x:f>
      </x:c>
      <x:c r="R171" s="210" t="str">
        <x:f>IF(OR(J171="",J171=0,N171=""),"",N171/J171)</x:f>
      </x:c>
      <x:c r="S171" s="210" t="str">
        <x:f>IF(OR(K171="",K171=0,N171=""),"",N171/K171*1000)</x:f>
      </x:c>
      <x:c r="T171" s="211" t="str">
        <x:f>IF(N171="","",N171*Parameter!$B$4)</x:f>
      </x:c>
      <x:c r="U171" s="212" t="str">
        <x:f>IF(B171="","",IF(OR(J171="",K171=""),"DATA TIDAK LENGKAP",IF(OR(N171&gt;Parameter!$B$5*1.2,R171&gt;Parameter!$B$6*1.2,S171&gt;Parameter!$B$7*1.2,P171&gt;0),"OVER LIMIT",IF(OR(N171&gt;Parameter!$B$5,R171&gt;Parameter!$B$6,S171&gt;Parameter!$B$7),"WARNING","NORMAL"))))</x:f>
      </x:c>
      <x:c r="V171" s="182"/>
      <x:c r="W171" s="188"/>
    </x:row>
    <x:row r="172">
      <x:c r="A172" s="194" t="n">
        <x:f>ROW()-4</x:f>
        <x:v>168</x:v>
      </x:c>
      <x:c r="B172" s="142"/>
      <x:c r="C172" s="143"/>
      <x:c r="D172" s="143"/>
      <x:c r="E172" s="182"/>
      <x:c r="F172" s="182"/>
      <x:c r="G172" s="182"/>
      <x:c r="H172" s="144"/>
      <x:c r="I172" s="144"/>
      <x:c r="J172" s="200" t="str">
        <x:f>IF(OR(H172="",I172=""),"",MAX(0,I172-H172))</x:f>
      </x:c>
      <x:c r="K172" s="145"/>
      <x:c r="L172" s="145"/>
      <x:c r="M172" s="145"/>
      <x:c r="N172" s="145"/>
      <x:c r="O172" s="145"/>
      <x:c r="P172" s="209" t="str">
        <x:f>IF(OR(N172="",O172=""),"",MAX(0,N172-O172))</x:f>
      </x:c>
      <x:c r="Q172" s="209" t="str">
        <x:f>IF(L172="","",L172+IF(M172="",0,M172)-IF(N172="",0,N172))</x:f>
      </x:c>
      <x:c r="R172" s="210" t="str">
        <x:f>IF(OR(J172="",J172=0,N172=""),"",N172/J172)</x:f>
      </x:c>
      <x:c r="S172" s="210" t="str">
        <x:f>IF(OR(K172="",K172=0,N172=""),"",N172/K172*1000)</x:f>
      </x:c>
      <x:c r="T172" s="211" t="str">
        <x:f>IF(N172="","",N172*Parameter!$B$4)</x:f>
      </x:c>
      <x:c r="U172" s="212" t="str">
        <x:f>IF(B172="","",IF(OR(J172="",K172=""),"DATA TIDAK LENGKAP",IF(OR(N172&gt;Parameter!$B$5*1.2,R172&gt;Parameter!$B$6*1.2,S172&gt;Parameter!$B$7*1.2,P172&gt;0),"OVER LIMIT",IF(OR(N172&gt;Parameter!$B$5,R172&gt;Parameter!$B$6,S172&gt;Parameter!$B$7),"WARNING","NORMAL"))))</x:f>
      </x:c>
      <x:c r="V172" s="182"/>
      <x:c r="W172" s="188"/>
    </x:row>
    <x:row r="173">
      <x:c r="A173" s="194" t="n">
        <x:f>ROW()-4</x:f>
        <x:v>169</x:v>
      </x:c>
      <x:c r="B173" s="142"/>
      <x:c r="C173" s="143"/>
      <x:c r="D173" s="143"/>
      <x:c r="E173" s="182"/>
      <x:c r="F173" s="182"/>
      <x:c r="G173" s="182"/>
      <x:c r="H173" s="144"/>
      <x:c r="I173" s="144"/>
      <x:c r="J173" s="200" t="str">
        <x:f>IF(OR(H173="",I173=""),"",MAX(0,I173-H173))</x:f>
      </x:c>
      <x:c r="K173" s="145"/>
      <x:c r="L173" s="145"/>
      <x:c r="M173" s="145"/>
      <x:c r="N173" s="145"/>
      <x:c r="O173" s="145"/>
      <x:c r="P173" s="209" t="str">
        <x:f>IF(OR(N173="",O173=""),"",MAX(0,N173-O173))</x:f>
      </x:c>
      <x:c r="Q173" s="209" t="str">
        <x:f>IF(L173="","",L173+IF(M173="",0,M173)-IF(N173="",0,N173))</x:f>
      </x:c>
      <x:c r="R173" s="210" t="str">
        <x:f>IF(OR(J173="",J173=0,N173=""),"",N173/J173)</x:f>
      </x:c>
      <x:c r="S173" s="210" t="str">
        <x:f>IF(OR(K173="",K173=0,N173=""),"",N173/K173*1000)</x:f>
      </x:c>
      <x:c r="T173" s="211" t="str">
        <x:f>IF(N173="","",N173*Parameter!$B$4)</x:f>
      </x:c>
      <x:c r="U173" s="212" t="str">
        <x:f>IF(B173="","",IF(OR(J173="",K173=""),"DATA TIDAK LENGKAP",IF(OR(N173&gt;Parameter!$B$5*1.2,R173&gt;Parameter!$B$6*1.2,S173&gt;Parameter!$B$7*1.2,P173&gt;0),"OVER LIMIT",IF(OR(N173&gt;Parameter!$B$5,R173&gt;Parameter!$B$6,S173&gt;Parameter!$B$7),"WARNING","NORMAL"))))</x:f>
      </x:c>
      <x:c r="V173" s="182"/>
      <x:c r="W173" s="188"/>
    </x:row>
    <x:row r="174">
      <x:c r="A174" s="194" t="n">
        <x:f>ROW()-4</x:f>
        <x:v>170</x:v>
      </x:c>
      <x:c r="B174" s="142"/>
      <x:c r="C174" s="143"/>
      <x:c r="D174" s="143"/>
      <x:c r="E174" s="182"/>
      <x:c r="F174" s="182"/>
      <x:c r="G174" s="182"/>
      <x:c r="H174" s="144"/>
      <x:c r="I174" s="144"/>
      <x:c r="J174" s="200" t="str">
        <x:f>IF(OR(H174="",I174=""),"",MAX(0,I174-H174))</x:f>
      </x:c>
      <x:c r="K174" s="145"/>
      <x:c r="L174" s="145"/>
      <x:c r="M174" s="145"/>
      <x:c r="N174" s="145"/>
      <x:c r="O174" s="145"/>
      <x:c r="P174" s="209" t="str">
        <x:f>IF(OR(N174="",O174=""),"",MAX(0,N174-O174))</x:f>
      </x:c>
      <x:c r="Q174" s="209" t="str">
        <x:f>IF(L174="","",L174+IF(M174="",0,M174)-IF(N174="",0,N174))</x:f>
      </x:c>
      <x:c r="R174" s="210" t="str">
        <x:f>IF(OR(J174="",J174=0,N174=""),"",N174/J174)</x:f>
      </x:c>
      <x:c r="S174" s="210" t="str">
        <x:f>IF(OR(K174="",K174=0,N174=""),"",N174/K174*1000)</x:f>
      </x:c>
      <x:c r="T174" s="211" t="str">
        <x:f>IF(N174="","",N174*Parameter!$B$4)</x:f>
      </x:c>
      <x:c r="U174" s="212" t="str">
        <x:f>IF(B174="","",IF(OR(J174="",K174=""),"DATA TIDAK LENGKAP",IF(OR(N174&gt;Parameter!$B$5*1.2,R174&gt;Parameter!$B$6*1.2,S174&gt;Parameter!$B$7*1.2,P174&gt;0),"OVER LIMIT",IF(OR(N174&gt;Parameter!$B$5,R174&gt;Parameter!$B$6,S174&gt;Parameter!$B$7),"WARNING","NORMAL"))))</x:f>
      </x:c>
      <x:c r="V174" s="182"/>
      <x:c r="W174" s="188"/>
    </x:row>
    <x:row r="175">
      <x:c r="A175" s="194" t="n">
        <x:f>ROW()-4</x:f>
        <x:v>171</x:v>
      </x:c>
      <x:c r="B175" s="142"/>
      <x:c r="C175" s="143"/>
      <x:c r="D175" s="143"/>
      <x:c r="E175" s="182"/>
      <x:c r="F175" s="182"/>
      <x:c r="G175" s="182"/>
      <x:c r="H175" s="144"/>
      <x:c r="I175" s="144"/>
      <x:c r="J175" s="200" t="str">
        <x:f>IF(OR(H175="",I175=""),"",MAX(0,I175-H175))</x:f>
      </x:c>
      <x:c r="K175" s="145"/>
      <x:c r="L175" s="145"/>
      <x:c r="M175" s="145"/>
      <x:c r="N175" s="145"/>
      <x:c r="O175" s="145"/>
      <x:c r="P175" s="209" t="str">
        <x:f>IF(OR(N175="",O175=""),"",MAX(0,N175-O175))</x:f>
      </x:c>
      <x:c r="Q175" s="209" t="str">
        <x:f>IF(L175="","",L175+IF(M175="",0,M175)-IF(N175="",0,N175))</x:f>
      </x:c>
      <x:c r="R175" s="210" t="str">
        <x:f>IF(OR(J175="",J175=0,N175=""),"",N175/J175)</x:f>
      </x:c>
      <x:c r="S175" s="210" t="str">
        <x:f>IF(OR(K175="",K175=0,N175=""),"",N175/K175*1000)</x:f>
      </x:c>
      <x:c r="T175" s="211" t="str">
        <x:f>IF(N175="","",N175*Parameter!$B$4)</x:f>
      </x:c>
      <x:c r="U175" s="212" t="str">
        <x:f>IF(B175="","",IF(OR(J175="",K175=""),"DATA TIDAK LENGKAP",IF(OR(N175&gt;Parameter!$B$5*1.2,R175&gt;Parameter!$B$6*1.2,S175&gt;Parameter!$B$7*1.2,P175&gt;0),"OVER LIMIT",IF(OR(N175&gt;Parameter!$B$5,R175&gt;Parameter!$B$6,S175&gt;Parameter!$B$7),"WARNING","NORMAL"))))</x:f>
      </x:c>
      <x:c r="V175" s="182"/>
      <x:c r="W175" s="188"/>
    </x:row>
    <x:row r="176">
      <x:c r="A176" s="194" t="n">
        <x:f>ROW()-4</x:f>
        <x:v>172</x:v>
      </x:c>
      <x:c r="B176" s="142"/>
      <x:c r="C176" s="143"/>
      <x:c r="D176" s="143"/>
      <x:c r="E176" s="182"/>
      <x:c r="F176" s="182"/>
      <x:c r="G176" s="182"/>
      <x:c r="H176" s="144"/>
      <x:c r="I176" s="144"/>
      <x:c r="J176" s="200" t="str">
        <x:f>IF(OR(H176="",I176=""),"",MAX(0,I176-H176))</x:f>
      </x:c>
      <x:c r="K176" s="145"/>
      <x:c r="L176" s="145"/>
      <x:c r="M176" s="145"/>
      <x:c r="N176" s="145"/>
      <x:c r="O176" s="145"/>
      <x:c r="P176" s="209" t="str">
        <x:f>IF(OR(N176="",O176=""),"",MAX(0,N176-O176))</x:f>
      </x:c>
      <x:c r="Q176" s="209" t="str">
        <x:f>IF(L176="","",L176+IF(M176="",0,M176)-IF(N176="",0,N176))</x:f>
      </x:c>
      <x:c r="R176" s="210" t="str">
        <x:f>IF(OR(J176="",J176=0,N176=""),"",N176/J176)</x:f>
      </x:c>
      <x:c r="S176" s="210" t="str">
        <x:f>IF(OR(K176="",K176=0,N176=""),"",N176/K176*1000)</x:f>
      </x:c>
      <x:c r="T176" s="211" t="str">
        <x:f>IF(N176="","",N176*Parameter!$B$4)</x:f>
      </x:c>
      <x:c r="U176" s="212" t="str">
        <x:f>IF(B176="","",IF(OR(J176="",K176=""),"DATA TIDAK LENGKAP",IF(OR(N176&gt;Parameter!$B$5*1.2,R176&gt;Parameter!$B$6*1.2,S176&gt;Parameter!$B$7*1.2,P176&gt;0),"OVER LIMIT",IF(OR(N176&gt;Parameter!$B$5,R176&gt;Parameter!$B$6,S176&gt;Parameter!$B$7),"WARNING","NORMAL"))))</x:f>
      </x:c>
      <x:c r="V176" s="182"/>
      <x:c r="W176" s="188"/>
    </x:row>
    <x:row r="177">
      <x:c r="A177" s="194" t="n">
        <x:f>ROW()-4</x:f>
        <x:v>173</x:v>
      </x:c>
      <x:c r="B177" s="142"/>
      <x:c r="C177" s="143"/>
      <x:c r="D177" s="143"/>
      <x:c r="E177" s="182"/>
      <x:c r="F177" s="182"/>
      <x:c r="G177" s="182"/>
      <x:c r="H177" s="144"/>
      <x:c r="I177" s="144"/>
      <x:c r="J177" s="200" t="str">
        <x:f>IF(OR(H177="",I177=""),"",MAX(0,I177-H177))</x:f>
      </x:c>
      <x:c r="K177" s="145"/>
      <x:c r="L177" s="145"/>
      <x:c r="M177" s="145"/>
      <x:c r="N177" s="145"/>
      <x:c r="O177" s="145"/>
      <x:c r="P177" s="209" t="str">
        <x:f>IF(OR(N177="",O177=""),"",MAX(0,N177-O177))</x:f>
      </x:c>
      <x:c r="Q177" s="209" t="str">
        <x:f>IF(L177="","",L177+IF(M177="",0,M177)-IF(N177="",0,N177))</x:f>
      </x:c>
      <x:c r="R177" s="210" t="str">
        <x:f>IF(OR(J177="",J177=0,N177=""),"",N177/J177)</x:f>
      </x:c>
      <x:c r="S177" s="210" t="str">
        <x:f>IF(OR(K177="",K177=0,N177=""),"",N177/K177*1000)</x:f>
      </x:c>
      <x:c r="T177" s="211" t="str">
        <x:f>IF(N177="","",N177*Parameter!$B$4)</x:f>
      </x:c>
      <x:c r="U177" s="212" t="str">
        <x:f>IF(B177="","",IF(OR(J177="",K177=""),"DATA TIDAK LENGKAP",IF(OR(N177&gt;Parameter!$B$5*1.2,R177&gt;Parameter!$B$6*1.2,S177&gt;Parameter!$B$7*1.2,P177&gt;0),"OVER LIMIT",IF(OR(N177&gt;Parameter!$B$5,R177&gt;Parameter!$B$6,S177&gt;Parameter!$B$7),"WARNING","NORMAL"))))</x:f>
      </x:c>
      <x:c r="V177" s="182"/>
      <x:c r="W177" s="188"/>
    </x:row>
    <x:row r="178">
      <x:c r="A178" s="194" t="n">
        <x:f>ROW()-4</x:f>
        <x:v>174</x:v>
      </x:c>
      <x:c r="B178" s="142"/>
      <x:c r="C178" s="143"/>
      <x:c r="D178" s="143"/>
      <x:c r="E178" s="182"/>
      <x:c r="F178" s="182"/>
      <x:c r="G178" s="182"/>
      <x:c r="H178" s="144"/>
      <x:c r="I178" s="144"/>
      <x:c r="J178" s="200" t="str">
        <x:f>IF(OR(H178="",I178=""),"",MAX(0,I178-H178))</x:f>
      </x:c>
      <x:c r="K178" s="145"/>
      <x:c r="L178" s="145"/>
      <x:c r="M178" s="145"/>
      <x:c r="N178" s="145"/>
      <x:c r="O178" s="145"/>
      <x:c r="P178" s="209" t="str">
        <x:f>IF(OR(N178="",O178=""),"",MAX(0,N178-O178))</x:f>
      </x:c>
      <x:c r="Q178" s="209" t="str">
        <x:f>IF(L178="","",L178+IF(M178="",0,M178)-IF(N178="",0,N178))</x:f>
      </x:c>
      <x:c r="R178" s="210" t="str">
        <x:f>IF(OR(J178="",J178=0,N178=""),"",N178/J178)</x:f>
      </x:c>
      <x:c r="S178" s="210" t="str">
        <x:f>IF(OR(K178="",K178=0,N178=""),"",N178/K178*1000)</x:f>
      </x:c>
      <x:c r="T178" s="211" t="str">
        <x:f>IF(N178="","",N178*Parameter!$B$4)</x:f>
      </x:c>
      <x:c r="U178" s="212" t="str">
        <x:f>IF(B178="","",IF(OR(J178="",K178=""),"DATA TIDAK LENGKAP",IF(OR(N178&gt;Parameter!$B$5*1.2,R178&gt;Parameter!$B$6*1.2,S178&gt;Parameter!$B$7*1.2,P178&gt;0),"OVER LIMIT",IF(OR(N178&gt;Parameter!$B$5,R178&gt;Parameter!$B$6,S178&gt;Parameter!$B$7),"WARNING","NORMAL"))))</x:f>
      </x:c>
      <x:c r="V178" s="182"/>
      <x:c r="W178" s="188"/>
    </x:row>
    <x:row r="179">
      <x:c r="A179" s="194" t="n">
        <x:f>ROW()-4</x:f>
        <x:v>175</x:v>
      </x:c>
      <x:c r="B179" s="142"/>
      <x:c r="C179" s="143"/>
      <x:c r="D179" s="143"/>
      <x:c r="E179" s="182"/>
      <x:c r="F179" s="182"/>
      <x:c r="G179" s="182"/>
      <x:c r="H179" s="144"/>
      <x:c r="I179" s="144"/>
      <x:c r="J179" s="200" t="str">
        <x:f>IF(OR(H179="",I179=""),"",MAX(0,I179-H179))</x:f>
      </x:c>
      <x:c r="K179" s="145"/>
      <x:c r="L179" s="145"/>
      <x:c r="M179" s="145"/>
      <x:c r="N179" s="145"/>
      <x:c r="O179" s="145"/>
      <x:c r="P179" s="209" t="str">
        <x:f>IF(OR(N179="",O179=""),"",MAX(0,N179-O179))</x:f>
      </x:c>
      <x:c r="Q179" s="209" t="str">
        <x:f>IF(L179="","",L179+IF(M179="",0,M179)-IF(N179="",0,N179))</x:f>
      </x:c>
      <x:c r="R179" s="210" t="str">
        <x:f>IF(OR(J179="",J179=0,N179=""),"",N179/J179)</x:f>
      </x:c>
      <x:c r="S179" s="210" t="str">
        <x:f>IF(OR(K179="",K179=0,N179=""),"",N179/K179*1000)</x:f>
      </x:c>
      <x:c r="T179" s="211" t="str">
        <x:f>IF(N179="","",N179*Parameter!$B$4)</x:f>
      </x:c>
      <x:c r="U179" s="212" t="str">
        <x:f>IF(B179="","",IF(OR(J179="",K179=""),"DATA TIDAK LENGKAP",IF(OR(N179&gt;Parameter!$B$5*1.2,R179&gt;Parameter!$B$6*1.2,S179&gt;Parameter!$B$7*1.2,P179&gt;0),"OVER LIMIT",IF(OR(N179&gt;Parameter!$B$5,R179&gt;Parameter!$B$6,S179&gt;Parameter!$B$7),"WARNING","NORMAL"))))</x:f>
      </x:c>
      <x:c r="V179" s="182"/>
      <x:c r="W179" s="188"/>
    </x:row>
    <x:row r="180">
      <x:c r="A180" s="194" t="n">
        <x:f>ROW()-4</x:f>
        <x:v>176</x:v>
      </x:c>
      <x:c r="B180" s="142"/>
      <x:c r="C180" s="143"/>
      <x:c r="D180" s="143"/>
      <x:c r="E180" s="182"/>
      <x:c r="F180" s="182"/>
      <x:c r="G180" s="182"/>
      <x:c r="H180" s="144"/>
      <x:c r="I180" s="144"/>
      <x:c r="J180" s="200" t="str">
        <x:f>IF(OR(H180="",I180=""),"",MAX(0,I180-H180))</x:f>
      </x:c>
      <x:c r="K180" s="145"/>
      <x:c r="L180" s="145"/>
      <x:c r="M180" s="145"/>
      <x:c r="N180" s="145"/>
      <x:c r="O180" s="145"/>
      <x:c r="P180" s="209" t="str">
        <x:f>IF(OR(N180="",O180=""),"",MAX(0,N180-O180))</x:f>
      </x:c>
      <x:c r="Q180" s="209" t="str">
        <x:f>IF(L180="","",L180+IF(M180="",0,M180)-IF(N180="",0,N180))</x:f>
      </x:c>
      <x:c r="R180" s="210" t="str">
        <x:f>IF(OR(J180="",J180=0,N180=""),"",N180/J180)</x:f>
      </x:c>
      <x:c r="S180" s="210" t="str">
        <x:f>IF(OR(K180="",K180=0,N180=""),"",N180/K180*1000)</x:f>
      </x:c>
      <x:c r="T180" s="211" t="str">
        <x:f>IF(N180="","",N180*Parameter!$B$4)</x:f>
      </x:c>
      <x:c r="U180" s="212" t="str">
        <x:f>IF(B180="","",IF(OR(J180="",K180=""),"DATA TIDAK LENGKAP",IF(OR(N180&gt;Parameter!$B$5*1.2,R180&gt;Parameter!$B$6*1.2,S180&gt;Parameter!$B$7*1.2,P180&gt;0),"OVER LIMIT",IF(OR(N180&gt;Parameter!$B$5,R180&gt;Parameter!$B$6,S180&gt;Parameter!$B$7),"WARNING","NORMAL"))))</x:f>
      </x:c>
      <x:c r="V180" s="182"/>
      <x:c r="W180" s="188"/>
    </x:row>
    <x:row r="181">
      <x:c r="A181" s="194" t="n">
        <x:f>ROW()-4</x:f>
        <x:v>177</x:v>
      </x:c>
      <x:c r="B181" s="142"/>
      <x:c r="C181" s="143"/>
      <x:c r="D181" s="143"/>
      <x:c r="E181" s="182"/>
      <x:c r="F181" s="182"/>
      <x:c r="G181" s="182"/>
      <x:c r="H181" s="144"/>
      <x:c r="I181" s="144"/>
      <x:c r="J181" s="200" t="str">
        <x:f>IF(OR(H181="",I181=""),"",MAX(0,I181-H181))</x:f>
      </x:c>
      <x:c r="K181" s="145"/>
      <x:c r="L181" s="145"/>
      <x:c r="M181" s="145"/>
      <x:c r="N181" s="145"/>
      <x:c r="O181" s="145"/>
      <x:c r="P181" s="209" t="str">
        <x:f>IF(OR(N181="",O181=""),"",MAX(0,N181-O181))</x:f>
      </x:c>
      <x:c r="Q181" s="209" t="str">
        <x:f>IF(L181="","",L181+IF(M181="",0,M181)-IF(N181="",0,N181))</x:f>
      </x:c>
      <x:c r="R181" s="210" t="str">
        <x:f>IF(OR(J181="",J181=0,N181=""),"",N181/J181)</x:f>
      </x:c>
      <x:c r="S181" s="210" t="str">
        <x:f>IF(OR(K181="",K181=0,N181=""),"",N181/K181*1000)</x:f>
      </x:c>
      <x:c r="T181" s="211" t="str">
        <x:f>IF(N181="","",N181*Parameter!$B$4)</x:f>
      </x:c>
      <x:c r="U181" s="212" t="str">
        <x:f>IF(B181="","",IF(OR(J181="",K181=""),"DATA TIDAK LENGKAP",IF(OR(N181&gt;Parameter!$B$5*1.2,R181&gt;Parameter!$B$6*1.2,S181&gt;Parameter!$B$7*1.2,P181&gt;0),"OVER LIMIT",IF(OR(N181&gt;Parameter!$B$5,R181&gt;Parameter!$B$6,S181&gt;Parameter!$B$7),"WARNING","NORMAL"))))</x:f>
      </x:c>
      <x:c r="V181" s="182"/>
      <x:c r="W181" s="188"/>
    </x:row>
    <x:row r="182">
      <x:c r="A182" s="194" t="n">
        <x:f>ROW()-4</x:f>
        <x:v>178</x:v>
      </x:c>
      <x:c r="B182" s="142"/>
      <x:c r="C182" s="143"/>
      <x:c r="D182" s="143"/>
      <x:c r="E182" s="182"/>
      <x:c r="F182" s="182"/>
      <x:c r="G182" s="182"/>
      <x:c r="H182" s="144"/>
      <x:c r="I182" s="144"/>
      <x:c r="J182" s="200" t="str">
        <x:f>IF(OR(H182="",I182=""),"",MAX(0,I182-H182))</x:f>
      </x:c>
      <x:c r="K182" s="145"/>
      <x:c r="L182" s="145"/>
      <x:c r="M182" s="145"/>
      <x:c r="N182" s="145"/>
      <x:c r="O182" s="145"/>
      <x:c r="P182" s="209" t="str">
        <x:f>IF(OR(N182="",O182=""),"",MAX(0,N182-O182))</x:f>
      </x:c>
      <x:c r="Q182" s="209" t="str">
        <x:f>IF(L182="","",L182+IF(M182="",0,M182)-IF(N182="",0,N182))</x:f>
      </x:c>
      <x:c r="R182" s="210" t="str">
        <x:f>IF(OR(J182="",J182=0,N182=""),"",N182/J182)</x:f>
      </x:c>
      <x:c r="S182" s="210" t="str">
        <x:f>IF(OR(K182="",K182=0,N182=""),"",N182/K182*1000)</x:f>
      </x:c>
      <x:c r="T182" s="211" t="str">
        <x:f>IF(N182="","",N182*Parameter!$B$4)</x:f>
      </x:c>
      <x:c r="U182" s="212" t="str">
        <x:f>IF(B182="","",IF(OR(J182="",K182=""),"DATA TIDAK LENGKAP",IF(OR(N182&gt;Parameter!$B$5*1.2,R182&gt;Parameter!$B$6*1.2,S182&gt;Parameter!$B$7*1.2,P182&gt;0),"OVER LIMIT",IF(OR(N182&gt;Parameter!$B$5,R182&gt;Parameter!$B$6,S182&gt;Parameter!$B$7),"WARNING","NORMAL"))))</x:f>
      </x:c>
      <x:c r="V182" s="182"/>
      <x:c r="W182" s="188"/>
    </x:row>
    <x:row r="183">
      <x:c r="A183" s="194" t="n">
        <x:f>ROW()-4</x:f>
        <x:v>179</x:v>
      </x:c>
      <x:c r="B183" s="142"/>
      <x:c r="C183" s="143"/>
      <x:c r="D183" s="143"/>
      <x:c r="E183" s="182"/>
      <x:c r="F183" s="182"/>
      <x:c r="G183" s="182"/>
      <x:c r="H183" s="144"/>
      <x:c r="I183" s="144"/>
      <x:c r="J183" s="200" t="str">
        <x:f>IF(OR(H183="",I183=""),"",MAX(0,I183-H183))</x:f>
      </x:c>
      <x:c r="K183" s="145"/>
      <x:c r="L183" s="145"/>
      <x:c r="M183" s="145"/>
      <x:c r="N183" s="145"/>
      <x:c r="O183" s="145"/>
      <x:c r="P183" s="209" t="str">
        <x:f>IF(OR(N183="",O183=""),"",MAX(0,N183-O183))</x:f>
      </x:c>
      <x:c r="Q183" s="209" t="str">
        <x:f>IF(L183="","",L183+IF(M183="",0,M183)-IF(N183="",0,N183))</x:f>
      </x:c>
      <x:c r="R183" s="210" t="str">
        <x:f>IF(OR(J183="",J183=0,N183=""),"",N183/J183)</x:f>
      </x:c>
      <x:c r="S183" s="210" t="str">
        <x:f>IF(OR(K183="",K183=0,N183=""),"",N183/K183*1000)</x:f>
      </x:c>
      <x:c r="T183" s="211" t="str">
        <x:f>IF(N183="","",N183*Parameter!$B$4)</x:f>
      </x:c>
      <x:c r="U183" s="212" t="str">
        <x:f>IF(B183="","",IF(OR(J183="",K183=""),"DATA TIDAK LENGKAP",IF(OR(N183&gt;Parameter!$B$5*1.2,R183&gt;Parameter!$B$6*1.2,S183&gt;Parameter!$B$7*1.2,P183&gt;0),"OVER LIMIT",IF(OR(N183&gt;Parameter!$B$5,R183&gt;Parameter!$B$6,S183&gt;Parameter!$B$7),"WARNING","NORMAL"))))</x:f>
      </x:c>
      <x:c r="V183" s="182"/>
      <x:c r="W183" s="188"/>
    </x:row>
    <x:row r="184">
      <x:c r="A184" s="194" t="n">
        <x:f>ROW()-4</x:f>
        <x:v>180</x:v>
      </x:c>
      <x:c r="B184" s="142"/>
      <x:c r="C184" s="143"/>
      <x:c r="D184" s="143"/>
      <x:c r="E184" s="182"/>
      <x:c r="F184" s="182"/>
      <x:c r="G184" s="182"/>
      <x:c r="H184" s="144"/>
      <x:c r="I184" s="144"/>
      <x:c r="J184" s="200" t="str">
        <x:f>IF(OR(H184="",I184=""),"",MAX(0,I184-H184))</x:f>
      </x:c>
      <x:c r="K184" s="145"/>
      <x:c r="L184" s="145"/>
      <x:c r="M184" s="145"/>
      <x:c r="N184" s="145"/>
      <x:c r="O184" s="145"/>
      <x:c r="P184" s="209" t="str">
        <x:f>IF(OR(N184="",O184=""),"",MAX(0,N184-O184))</x:f>
      </x:c>
      <x:c r="Q184" s="209" t="str">
        <x:f>IF(L184="","",L184+IF(M184="",0,M184)-IF(N184="",0,N184))</x:f>
      </x:c>
      <x:c r="R184" s="210" t="str">
        <x:f>IF(OR(J184="",J184=0,N184=""),"",N184/J184)</x:f>
      </x:c>
      <x:c r="S184" s="210" t="str">
        <x:f>IF(OR(K184="",K184=0,N184=""),"",N184/K184*1000)</x:f>
      </x:c>
      <x:c r="T184" s="211" t="str">
        <x:f>IF(N184="","",N184*Parameter!$B$4)</x:f>
      </x:c>
      <x:c r="U184" s="212" t="str">
        <x:f>IF(B184="","",IF(OR(J184="",K184=""),"DATA TIDAK LENGKAP",IF(OR(N184&gt;Parameter!$B$5*1.2,R184&gt;Parameter!$B$6*1.2,S184&gt;Parameter!$B$7*1.2,P184&gt;0),"OVER LIMIT",IF(OR(N184&gt;Parameter!$B$5,R184&gt;Parameter!$B$6,S184&gt;Parameter!$B$7),"WARNING","NORMAL"))))</x:f>
      </x:c>
      <x:c r="V184" s="182"/>
      <x:c r="W184" s="188"/>
    </x:row>
    <x:row r="185">
      <x:c r="A185" s="194" t="n">
        <x:f>ROW()-4</x:f>
        <x:v>181</x:v>
      </x:c>
      <x:c r="B185" s="142"/>
      <x:c r="C185" s="143"/>
      <x:c r="D185" s="143"/>
      <x:c r="E185" s="182"/>
      <x:c r="F185" s="182"/>
      <x:c r="G185" s="182"/>
      <x:c r="H185" s="144"/>
      <x:c r="I185" s="144"/>
      <x:c r="J185" s="200" t="str">
        <x:f>IF(OR(H185="",I185=""),"",MAX(0,I185-H185))</x:f>
      </x:c>
      <x:c r="K185" s="145"/>
      <x:c r="L185" s="145"/>
      <x:c r="M185" s="145"/>
      <x:c r="N185" s="145"/>
      <x:c r="O185" s="145"/>
      <x:c r="P185" s="209" t="str">
        <x:f>IF(OR(N185="",O185=""),"",MAX(0,N185-O185))</x:f>
      </x:c>
      <x:c r="Q185" s="209" t="str">
        <x:f>IF(L185="","",L185+IF(M185="",0,M185)-IF(N185="",0,N185))</x:f>
      </x:c>
      <x:c r="R185" s="210" t="str">
        <x:f>IF(OR(J185="",J185=0,N185=""),"",N185/J185)</x:f>
      </x:c>
      <x:c r="S185" s="210" t="str">
        <x:f>IF(OR(K185="",K185=0,N185=""),"",N185/K185*1000)</x:f>
      </x:c>
      <x:c r="T185" s="211" t="str">
        <x:f>IF(N185="","",N185*Parameter!$B$4)</x:f>
      </x:c>
      <x:c r="U185" s="212" t="str">
        <x:f>IF(B185="","",IF(OR(J185="",K185=""),"DATA TIDAK LENGKAP",IF(OR(N185&gt;Parameter!$B$5*1.2,R185&gt;Parameter!$B$6*1.2,S185&gt;Parameter!$B$7*1.2,P185&gt;0),"OVER LIMIT",IF(OR(N185&gt;Parameter!$B$5,R185&gt;Parameter!$B$6,S185&gt;Parameter!$B$7),"WARNING","NORMAL"))))</x:f>
      </x:c>
      <x:c r="V185" s="182"/>
      <x:c r="W185" s="188"/>
    </x:row>
    <x:row r="186">
      <x:c r="A186" s="194" t="n">
        <x:f>ROW()-4</x:f>
        <x:v>182</x:v>
      </x:c>
      <x:c r="B186" s="142"/>
      <x:c r="C186" s="143"/>
      <x:c r="D186" s="143"/>
      <x:c r="E186" s="182"/>
      <x:c r="F186" s="182"/>
      <x:c r="G186" s="182"/>
      <x:c r="H186" s="144"/>
      <x:c r="I186" s="144"/>
      <x:c r="J186" s="200" t="str">
        <x:f>IF(OR(H186="",I186=""),"",MAX(0,I186-H186))</x:f>
      </x:c>
      <x:c r="K186" s="145"/>
      <x:c r="L186" s="145"/>
      <x:c r="M186" s="145"/>
      <x:c r="N186" s="145"/>
      <x:c r="O186" s="145"/>
      <x:c r="P186" s="209" t="str">
        <x:f>IF(OR(N186="",O186=""),"",MAX(0,N186-O186))</x:f>
      </x:c>
      <x:c r="Q186" s="209" t="str">
        <x:f>IF(L186="","",L186+IF(M186="",0,M186)-IF(N186="",0,N186))</x:f>
      </x:c>
      <x:c r="R186" s="210" t="str">
        <x:f>IF(OR(J186="",J186=0,N186=""),"",N186/J186)</x:f>
      </x:c>
      <x:c r="S186" s="210" t="str">
        <x:f>IF(OR(K186="",K186=0,N186=""),"",N186/K186*1000)</x:f>
      </x:c>
      <x:c r="T186" s="211" t="str">
        <x:f>IF(N186="","",N186*Parameter!$B$4)</x:f>
      </x:c>
      <x:c r="U186" s="212" t="str">
        <x:f>IF(B186="","",IF(OR(J186="",K186=""),"DATA TIDAK LENGKAP",IF(OR(N186&gt;Parameter!$B$5*1.2,R186&gt;Parameter!$B$6*1.2,S186&gt;Parameter!$B$7*1.2,P186&gt;0),"OVER LIMIT",IF(OR(N186&gt;Parameter!$B$5,R186&gt;Parameter!$B$6,S186&gt;Parameter!$B$7),"WARNING","NORMAL"))))</x:f>
      </x:c>
      <x:c r="V186" s="182"/>
      <x:c r="W186" s="188"/>
    </x:row>
    <x:row r="187">
      <x:c r="A187" s="194" t="n">
        <x:f>ROW()-4</x:f>
        <x:v>183</x:v>
      </x:c>
      <x:c r="B187" s="142"/>
      <x:c r="C187" s="143"/>
      <x:c r="D187" s="143"/>
      <x:c r="E187" s="182"/>
      <x:c r="F187" s="182"/>
      <x:c r="G187" s="182"/>
      <x:c r="H187" s="144"/>
      <x:c r="I187" s="144"/>
      <x:c r="J187" s="200" t="str">
        <x:f>IF(OR(H187="",I187=""),"",MAX(0,I187-H187))</x:f>
      </x:c>
      <x:c r="K187" s="145"/>
      <x:c r="L187" s="145"/>
      <x:c r="M187" s="145"/>
      <x:c r="N187" s="145"/>
      <x:c r="O187" s="145"/>
      <x:c r="P187" s="209" t="str">
        <x:f>IF(OR(N187="",O187=""),"",MAX(0,N187-O187))</x:f>
      </x:c>
      <x:c r="Q187" s="209" t="str">
        <x:f>IF(L187="","",L187+IF(M187="",0,M187)-IF(N187="",0,N187))</x:f>
      </x:c>
      <x:c r="R187" s="210" t="str">
        <x:f>IF(OR(J187="",J187=0,N187=""),"",N187/J187)</x:f>
      </x:c>
      <x:c r="S187" s="210" t="str">
        <x:f>IF(OR(K187="",K187=0,N187=""),"",N187/K187*1000)</x:f>
      </x:c>
      <x:c r="T187" s="211" t="str">
        <x:f>IF(N187="","",N187*Parameter!$B$4)</x:f>
      </x:c>
      <x:c r="U187" s="212" t="str">
        <x:f>IF(B187="","",IF(OR(J187="",K187=""),"DATA TIDAK LENGKAP",IF(OR(N187&gt;Parameter!$B$5*1.2,R187&gt;Parameter!$B$6*1.2,S187&gt;Parameter!$B$7*1.2,P187&gt;0),"OVER LIMIT",IF(OR(N187&gt;Parameter!$B$5,R187&gt;Parameter!$B$6,S187&gt;Parameter!$B$7),"WARNING","NORMAL"))))</x:f>
      </x:c>
      <x:c r="V187" s="182"/>
      <x:c r="W187" s="188"/>
    </x:row>
    <x:row r="188">
      <x:c r="A188" s="194" t="n">
        <x:f>ROW()-4</x:f>
        <x:v>184</x:v>
      </x:c>
      <x:c r="B188" s="142"/>
      <x:c r="C188" s="143"/>
      <x:c r="D188" s="143"/>
      <x:c r="E188" s="182"/>
      <x:c r="F188" s="182"/>
      <x:c r="G188" s="182"/>
      <x:c r="H188" s="144"/>
      <x:c r="I188" s="144"/>
      <x:c r="J188" s="200" t="str">
        <x:f>IF(OR(H188="",I188=""),"",MAX(0,I188-H188))</x:f>
      </x:c>
      <x:c r="K188" s="145"/>
      <x:c r="L188" s="145"/>
      <x:c r="M188" s="145"/>
      <x:c r="N188" s="145"/>
      <x:c r="O188" s="145"/>
      <x:c r="P188" s="209" t="str">
        <x:f>IF(OR(N188="",O188=""),"",MAX(0,N188-O188))</x:f>
      </x:c>
      <x:c r="Q188" s="209" t="str">
        <x:f>IF(L188="","",L188+IF(M188="",0,M188)-IF(N188="",0,N188))</x:f>
      </x:c>
      <x:c r="R188" s="210" t="str">
        <x:f>IF(OR(J188="",J188=0,N188=""),"",N188/J188)</x:f>
      </x:c>
      <x:c r="S188" s="210" t="str">
        <x:f>IF(OR(K188="",K188=0,N188=""),"",N188/K188*1000)</x:f>
      </x:c>
      <x:c r="T188" s="211" t="str">
        <x:f>IF(N188="","",N188*Parameter!$B$4)</x:f>
      </x:c>
      <x:c r="U188" s="212" t="str">
        <x:f>IF(B188="","",IF(OR(J188="",K188=""),"DATA TIDAK LENGKAP",IF(OR(N188&gt;Parameter!$B$5*1.2,R188&gt;Parameter!$B$6*1.2,S188&gt;Parameter!$B$7*1.2,P188&gt;0),"OVER LIMIT",IF(OR(N188&gt;Parameter!$B$5,R188&gt;Parameter!$B$6,S188&gt;Parameter!$B$7),"WARNING","NORMAL"))))</x:f>
      </x:c>
      <x:c r="V188" s="182"/>
      <x:c r="W188" s="188"/>
    </x:row>
    <x:row r="189">
      <x:c r="A189" s="194" t="n">
        <x:f>ROW()-4</x:f>
        <x:v>185</x:v>
      </x:c>
      <x:c r="B189" s="142"/>
      <x:c r="C189" s="143"/>
      <x:c r="D189" s="143"/>
      <x:c r="E189" s="182"/>
      <x:c r="F189" s="182"/>
      <x:c r="G189" s="182"/>
      <x:c r="H189" s="144"/>
      <x:c r="I189" s="144"/>
      <x:c r="J189" s="200" t="str">
        <x:f>IF(OR(H189="",I189=""),"",MAX(0,I189-H189))</x:f>
      </x:c>
      <x:c r="K189" s="145"/>
      <x:c r="L189" s="145"/>
      <x:c r="M189" s="145"/>
      <x:c r="N189" s="145"/>
      <x:c r="O189" s="145"/>
      <x:c r="P189" s="209" t="str">
        <x:f>IF(OR(N189="",O189=""),"",MAX(0,N189-O189))</x:f>
      </x:c>
      <x:c r="Q189" s="209" t="str">
        <x:f>IF(L189="","",L189+IF(M189="",0,M189)-IF(N189="",0,N189))</x:f>
      </x:c>
      <x:c r="R189" s="210" t="str">
        <x:f>IF(OR(J189="",J189=0,N189=""),"",N189/J189)</x:f>
      </x:c>
      <x:c r="S189" s="210" t="str">
        <x:f>IF(OR(K189="",K189=0,N189=""),"",N189/K189*1000)</x:f>
      </x:c>
      <x:c r="T189" s="211" t="str">
        <x:f>IF(N189="","",N189*Parameter!$B$4)</x:f>
      </x:c>
      <x:c r="U189" s="212" t="str">
        <x:f>IF(B189="","",IF(OR(J189="",K189=""),"DATA TIDAK LENGKAP",IF(OR(N189&gt;Parameter!$B$5*1.2,R189&gt;Parameter!$B$6*1.2,S189&gt;Parameter!$B$7*1.2,P189&gt;0),"OVER LIMIT",IF(OR(N189&gt;Parameter!$B$5,R189&gt;Parameter!$B$6,S189&gt;Parameter!$B$7),"WARNING","NORMAL"))))</x:f>
      </x:c>
      <x:c r="V189" s="182"/>
      <x:c r="W189" s="188"/>
    </x:row>
    <x:row r="190">
      <x:c r="A190" s="194" t="n">
        <x:f>ROW()-4</x:f>
        <x:v>186</x:v>
      </x:c>
      <x:c r="B190" s="142"/>
      <x:c r="C190" s="143"/>
      <x:c r="D190" s="143"/>
      <x:c r="E190" s="182"/>
      <x:c r="F190" s="182"/>
      <x:c r="G190" s="182"/>
      <x:c r="H190" s="144"/>
      <x:c r="I190" s="144"/>
      <x:c r="J190" s="200" t="str">
        <x:f>IF(OR(H190="",I190=""),"",MAX(0,I190-H190))</x:f>
      </x:c>
      <x:c r="K190" s="145"/>
      <x:c r="L190" s="145"/>
      <x:c r="M190" s="145"/>
      <x:c r="N190" s="145"/>
      <x:c r="O190" s="145"/>
      <x:c r="P190" s="209" t="str">
        <x:f>IF(OR(N190="",O190=""),"",MAX(0,N190-O190))</x:f>
      </x:c>
      <x:c r="Q190" s="209" t="str">
        <x:f>IF(L190="","",L190+IF(M190="",0,M190)-IF(N190="",0,N190))</x:f>
      </x:c>
      <x:c r="R190" s="210" t="str">
        <x:f>IF(OR(J190="",J190=0,N190=""),"",N190/J190)</x:f>
      </x:c>
      <x:c r="S190" s="210" t="str">
        <x:f>IF(OR(K190="",K190=0,N190=""),"",N190/K190*1000)</x:f>
      </x:c>
      <x:c r="T190" s="211" t="str">
        <x:f>IF(N190="","",N190*Parameter!$B$4)</x:f>
      </x:c>
      <x:c r="U190" s="212" t="str">
        <x:f>IF(B190="","",IF(OR(J190="",K190=""),"DATA TIDAK LENGKAP",IF(OR(N190&gt;Parameter!$B$5*1.2,R190&gt;Parameter!$B$6*1.2,S190&gt;Parameter!$B$7*1.2,P190&gt;0),"OVER LIMIT",IF(OR(N190&gt;Parameter!$B$5,R190&gt;Parameter!$B$6,S190&gt;Parameter!$B$7),"WARNING","NORMAL"))))</x:f>
      </x:c>
      <x:c r="V190" s="182"/>
      <x:c r="W190" s="188"/>
    </x:row>
    <x:row r="191">
      <x:c r="A191" s="194" t="n">
        <x:f>ROW()-4</x:f>
        <x:v>187</x:v>
      </x:c>
      <x:c r="B191" s="142"/>
      <x:c r="C191" s="143"/>
      <x:c r="D191" s="143"/>
      <x:c r="E191" s="182"/>
      <x:c r="F191" s="182"/>
      <x:c r="G191" s="182"/>
      <x:c r="H191" s="144"/>
      <x:c r="I191" s="144"/>
      <x:c r="J191" s="200" t="str">
        <x:f>IF(OR(H191="",I191=""),"",MAX(0,I191-H191))</x:f>
      </x:c>
      <x:c r="K191" s="145"/>
      <x:c r="L191" s="145"/>
      <x:c r="M191" s="145"/>
      <x:c r="N191" s="145"/>
      <x:c r="O191" s="145"/>
      <x:c r="P191" s="209" t="str">
        <x:f>IF(OR(N191="",O191=""),"",MAX(0,N191-O191))</x:f>
      </x:c>
      <x:c r="Q191" s="209" t="str">
        <x:f>IF(L191="","",L191+IF(M191="",0,M191)-IF(N191="",0,N191))</x:f>
      </x:c>
      <x:c r="R191" s="210" t="str">
        <x:f>IF(OR(J191="",J191=0,N191=""),"",N191/J191)</x:f>
      </x:c>
      <x:c r="S191" s="210" t="str">
        <x:f>IF(OR(K191="",K191=0,N191=""),"",N191/K191*1000)</x:f>
      </x:c>
      <x:c r="T191" s="211" t="str">
        <x:f>IF(N191="","",N191*Parameter!$B$4)</x:f>
      </x:c>
      <x:c r="U191" s="212" t="str">
        <x:f>IF(B191="","",IF(OR(J191="",K191=""),"DATA TIDAK LENGKAP",IF(OR(N191&gt;Parameter!$B$5*1.2,R191&gt;Parameter!$B$6*1.2,S191&gt;Parameter!$B$7*1.2,P191&gt;0),"OVER LIMIT",IF(OR(N191&gt;Parameter!$B$5,R191&gt;Parameter!$B$6,S191&gt;Parameter!$B$7),"WARNING","NORMAL"))))</x:f>
      </x:c>
      <x:c r="V191" s="182"/>
      <x:c r="W191" s="188"/>
    </x:row>
    <x:row r="192">
      <x:c r="A192" s="194" t="n">
        <x:f>ROW()-4</x:f>
        <x:v>188</x:v>
      </x:c>
      <x:c r="B192" s="142"/>
      <x:c r="C192" s="143"/>
      <x:c r="D192" s="143"/>
      <x:c r="E192" s="182"/>
      <x:c r="F192" s="182"/>
      <x:c r="G192" s="182"/>
      <x:c r="H192" s="144"/>
      <x:c r="I192" s="144"/>
      <x:c r="J192" s="200" t="str">
        <x:f>IF(OR(H192="",I192=""),"",MAX(0,I192-H192))</x:f>
      </x:c>
      <x:c r="K192" s="145"/>
      <x:c r="L192" s="145"/>
      <x:c r="M192" s="145"/>
      <x:c r="N192" s="145"/>
      <x:c r="O192" s="145"/>
      <x:c r="P192" s="209" t="str">
        <x:f>IF(OR(N192="",O192=""),"",MAX(0,N192-O192))</x:f>
      </x:c>
      <x:c r="Q192" s="209" t="str">
        <x:f>IF(L192="","",L192+IF(M192="",0,M192)-IF(N192="",0,N192))</x:f>
      </x:c>
      <x:c r="R192" s="210" t="str">
        <x:f>IF(OR(J192="",J192=0,N192=""),"",N192/J192)</x:f>
      </x:c>
      <x:c r="S192" s="210" t="str">
        <x:f>IF(OR(K192="",K192=0,N192=""),"",N192/K192*1000)</x:f>
      </x:c>
      <x:c r="T192" s="211" t="str">
        <x:f>IF(N192="","",N192*Parameter!$B$4)</x:f>
      </x:c>
      <x:c r="U192" s="212" t="str">
        <x:f>IF(B192="","",IF(OR(J192="",K192=""),"DATA TIDAK LENGKAP",IF(OR(N192&gt;Parameter!$B$5*1.2,R192&gt;Parameter!$B$6*1.2,S192&gt;Parameter!$B$7*1.2,P192&gt;0),"OVER LIMIT",IF(OR(N192&gt;Parameter!$B$5,R192&gt;Parameter!$B$6,S192&gt;Parameter!$B$7),"WARNING","NORMAL"))))</x:f>
      </x:c>
      <x:c r="V192" s="182"/>
      <x:c r="W192" s="188"/>
    </x:row>
    <x:row r="193">
      <x:c r="A193" s="194" t="n">
        <x:f>ROW()-4</x:f>
        <x:v>189</x:v>
      </x:c>
      <x:c r="B193" s="142"/>
      <x:c r="C193" s="143"/>
      <x:c r="D193" s="143"/>
      <x:c r="E193" s="182"/>
      <x:c r="F193" s="182"/>
      <x:c r="G193" s="182"/>
      <x:c r="H193" s="144"/>
      <x:c r="I193" s="144"/>
      <x:c r="J193" s="200" t="str">
        <x:f>IF(OR(H193="",I193=""),"",MAX(0,I193-H193))</x:f>
      </x:c>
      <x:c r="K193" s="145"/>
      <x:c r="L193" s="145"/>
      <x:c r="M193" s="145"/>
      <x:c r="N193" s="145"/>
      <x:c r="O193" s="145"/>
      <x:c r="P193" s="209" t="str">
        <x:f>IF(OR(N193="",O193=""),"",MAX(0,N193-O193))</x:f>
      </x:c>
      <x:c r="Q193" s="209" t="str">
        <x:f>IF(L193="","",L193+IF(M193="",0,M193)-IF(N193="",0,N193))</x:f>
      </x:c>
      <x:c r="R193" s="210" t="str">
        <x:f>IF(OR(J193="",J193=0,N193=""),"",N193/J193)</x:f>
      </x:c>
      <x:c r="S193" s="210" t="str">
        <x:f>IF(OR(K193="",K193=0,N193=""),"",N193/K193*1000)</x:f>
      </x:c>
      <x:c r="T193" s="211" t="str">
        <x:f>IF(N193="","",N193*Parameter!$B$4)</x:f>
      </x:c>
      <x:c r="U193" s="212" t="str">
        <x:f>IF(B193="","",IF(OR(J193="",K193=""),"DATA TIDAK LENGKAP",IF(OR(N193&gt;Parameter!$B$5*1.2,R193&gt;Parameter!$B$6*1.2,S193&gt;Parameter!$B$7*1.2,P193&gt;0),"OVER LIMIT",IF(OR(N193&gt;Parameter!$B$5,R193&gt;Parameter!$B$6,S193&gt;Parameter!$B$7),"WARNING","NORMAL"))))</x:f>
      </x:c>
      <x:c r="V193" s="182"/>
      <x:c r="W193" s="188"/>
    </x:row>
    <x:row r="194">
      <x:c r="A194" s="194" t="n">
        <x:f>ROW()-4</x:f>
        <x:v>190</x:v>
      </x:c>
      <x:c r="B194" s="142"/>
      <x:c r="C194" s="143"/>
      <x:c r="D194" s="143"/>
      <x:c r="E194" s="182"/>
      <x:c r="F194" s="182"/>
      <x:c r="G194" s="182"/>
      <x:c r="H194" s="144"/>
      <x:c r="I194" s="144"/>
      <x:c r="J194" s="200" t="str">
        <x:f>IF(OR(H194="",I194=""),"",MAX(0,I194-H194))</x:f>
      </x:c>
      <x:c r="K194" s="145"/>
      <x:c r="L194" s="145"/>
      <x:c r="M194" s="145"/>
      <x:c r="N194" s="145"/>
      <x:c r="O194" s="145"/>
      <x:c r="P194" s="209" t="str">
        <x:f>IF(OR(N194="",O194=""),"",MAX(0,N194-O194))</x:f>
      </x:c>
      <x:c r="Q194" s="209" t="str">
        <x:f>IF(L194="","",L194+IF(M194="",0,M194)-IF(N194="",0,N194))</x:f>
      </x:c>
      <x:c r="R194" s="210" t="str">
        <x:f>IF(OR(J194="",J194=0,N194=""),"",N194/J194)</x:f>
      </x:c>
      <x:c r="S194" s="210" t="str">
        <x:f>IF(OR(K194="",K194=0,N194=""),"",N194/K194*1000)</x:f>
      </x:c>
      <x:c r="T194" s="211" t="str">
        <x:f>IF(N194="","",N194*Parameter!$B$4)</x:f>
      </x:c>
      <x:c r="U194" s="212" t="str">
        <x:f>IF(B194="","",IF(OR(J194="",K194=""),"DATA TIDAK LENGKAP",IF(OR(N194&gt;Parameter!$B$5*1.2,R194&gt;Parameter!$B$6*1.2,S194&gt;Parameter!$B$7*1.2,P194&gt;0),"OVER LIMIT",IF(OR(N194&gt;Parameter!$B$5,R194&gt;Parameter!$B$6,S194&gt;Parameter!$B$7),"WARNING","NORMAL"))))</x:f>
      </x:c>
      <x:c r="V194" s="182"/>
      <x:c r="W194" s="188"/>
    </x:row>
    <x:row r="195">
      <x:c r="A195" s="194" t="n">
        <x:f>ROW()-4</x:f>
        <x:v>191</x:v>
      </x:c>
      <x:c r="B195" s="142"/>
      <x:c r="C195" s="143"/>
      <x:c r="D195" s="143"/>
      <x:c r="E195" s="182"/>
      <x:c r="F195" s="182"/>
      <x:c r="G195" s="182"/>
      <x:c r="H195" s="144"/>
      <x:c r="I195" s="144"/>
      <x:c r="J195" s="200" t="str">
        <x:f>IF(OR(H195="",I195=""),"",MAX(0,I195-H195))</x:f>
      </x:c>
      <x:c r="K195" s="145"/>
      <x:c r="L195" s="145"/>
      <x:c r="M195" s="145"/>
      <x:c r="N195" s="145"/>
      <x:c r="O195" s="145"/>
      <x:c r="P195" s="209" t="str">
        <x:f>IF(OR(N195="",O195=""),"",MAX(0,N195-O195))</x:f>
      </x:c>
      <x:c r="Q195" s="209" t="str">
        <x:f>IF(L195="","",L195+IF(M195="",0,M195)-IF(N195="",0,N195))</x:f>
      </x:c>
      <x:c r="R195" s="210" t="str">
        <x:f>IF(OR(J195="",J195=0,N195=""),"",N195/J195)</x:f>
      </x:c>
      <x:c r="S195" s="210" t="str">
        <x:f>IF(OR(K195="",K195=0,N195=""),"",N195/K195*1000)</x:f>
      </x:c>
      <x:c r="T195" s="211" t="str">
        <x:f>IF(N195="","",N195*Parameter!$B$4)</x:f>
      </x:c>
      <x:c r="U195" s="212" t="str">
        <x:f>IF(B195="","",IF(OR(J195="",K195=""),"DATA TIDAK LENGKAP",IF(OR(N195&gt;Parameter!$B$5*1.2,R195&gt;Parameter!$B$6*1.2,S195&gt;Parameter!$B$7*1.2,P195&gt;0),"OVER LIMIT",IF(OR(N195&gt;Parameter!$B$5,R195&gt;Parameter!$B$6,S195&gt;Parameter!$B$7),"WARNING","NORMAL"))))</x:f>
      </x:c>
      <x:c r="V195" s="182"/>
      <x:c r="W195" s="188"/>
    </x:row>
    <x:row r="196">
      <x:c r="A196" s="194" t="n">
        <x:f>ROW()-4</x:f>
        <x:v>192</x:v>
      </x:c>
      <x:c r="B196" s="142"/>
      <x:c r="C196" s="143"/>
      <x:c r="D196" s="143"/>
      <x:c r="E196" s="182"/>
      <x:c r="F196" s="182"/>
      <x:c r="G196" s="182"/>
      <x:c r="H196" s="144"/>
      <x:c r="I196" s="144"/>
      <x:c r="J196" s="200" t="str">
        <x:f>IF(OR(H196="",I196=""),"",MAX(0,I196-H196))</x:f>
      </x:c>
      <x:c r="K196" s="145"/>
      <x:c r="L196" s="145"/>
      <x:c r="M196" s="145"/>
      <x:c r="N196" s="145"/>
      <x:c r="O196" s="145"/>
      <x:c r="P196" s="209" t="str">
        <x:f>IF(OR(N196="",O196=""),"",MAX(0,N196-O196))</x:f>
      </x:c>
      <x:c r="Q196" s="209" t="str">
        <x:f>IF(L196="","",L196+IF(M196="",0,M196)-IF(N196="",0,N196))</x:f>
      </x:c>
      <x:c r="R196" s="210" t="str">
        <x:f>IF(OR(J196="",J196=0,N196=""),"",N196/J196)</x:f>
      </x:c>
      <x:c r="S196" s="210" t="str">
        <x:f>IF(OR(K196="",K196=0,N196=""),"",N196/K196*1000)</x:f>
      </x:c>
      <x:c r="T196" s="211" t="str">
        <x:f>IF(N196="","",N196*Parameter!$B$4)</x:f>
      </x:c>
      <x:c r="U196" s="212" t="str">
        <x:f>IF(B196="","",IF(OR(J196="",K196=""),"DATA TIDAK LENGKAP",IF(OR(N196&gt;Parameter!$B$5*1.2,R196&gt;Parameter!$B$6*1.2,S196&gt;Parameter!$B$7*1.2,P196&gt;0),"OVER LIMIT",IF(OR(N196&gt;Parameter!$B$5,R196&gt;Parameter!$B$6,S196&gt;Parameter!$B$7),"WARNING","NORMAL"))))</x:f>
      </x:c>
      <x:c r="V196" s="182"/>
      <x:c r="W196" s="188"/>
    </x:row>
    <x:row r="197">
      <x:c r="A197" s="194" t="n">
        <x:f>ROW()-4</x:f>
        <x:v>193</x:v>
      </x:c>
      <x:c r="B197" s="142"/>
      <x:c r="C197" s="143"/>
      <x:c r="D197" s="143"/>
      <x:c r="E197" s="182"/>
      <x:c r="F197" s="182"/>
      <x:c r="G197" s="182"/>
      <x:c r="H197" s="144"/>
      <x:c r="I197" s="144"/>
      <x:c r="J197" s="200" t="str">
        <x:f>IF(OR(H197="",I197=""),"",MAX(0,I197-H197))</x:f>
      </x:c>
      <x:c r="K197" s="145"/>
      <x:c r="L197" s="145"/>
      <x:c r="M197" s="145"/>
      <x:c r="N197" s="145"/>
      <x:c r="O197" s="145"/>
      <x:c r="P197" s="209" t="str">
        <x:f>IF(OR(N197="",O197=""),"",MAX(0,N197-O197))</x:f>
      </x:c>
      <x:c r="Q197" s="209" t="str">
        <x:f>IF(L197="","",L197+IF(M197="",0,M197)-IF(N197="",0,N197))</x:f>
      </x:c>
      <x:c r="R197" s="210" t="str">
        <x:f>IF(OR(J197="",J197=0,N197=""),"",N197/J197)</x:f>
      </x:c>
      <x:c r="S197" s="210" t="str">
        <x:f>IF(OR(K197="",K197=0,N197=""),"",N197/K197*1000)</x:f>
      </x:c>
      <x:c r="T197" s="211" t="str">
        <x:f>IF(N197="","",N197*Parameter!$B$4)</x:f>
      </x:c>
      <x:c r="U197" s="212" t="str">
        <x:f>IF(B197="","",IF(OR(J197="",K197=""),"DATA TIDAK LENGKAP",IF(OR(N197&gt;Parameter!$B$5*1.2,R197&gt;Parameter!$B$6*1.2,S197&gt;Parameter!$B$7*1.2,P197&gt;0),"OVER LIMIT",IF(OR(N197&gt;Parameter!$B$5,R197&gt;Parameter!$B$6,S197&gt;Parameter!$B$7),"WARNING","NORMAL"))))</x:f>
      </x:c>
      <x:c r="V197" s="182"/>
      <x:c r="W197" s="188"/>
    </x:row>
    <x:row r="198">
      <x:c r="A198" s="194" t="n">
        <x:f>ROW()-4</x:f>
        <x:v>194</x:v>
      </x:c>
      <x:c r="B198" s="142"/>
      <x:c r="C198" s="143"/>
      <x:c r="D198" s="143"/>
      <x:c r="E198" s="182"/>
      <x:c r="F198" s="182"/>
      <x:c r="G198" s="182"/>
      <x:c r="H198" s="144"/>
      <x:c r="I198" s="144"/>
      <x:c r="J198" s="200" t="str">
        <x:f>IF(OR(H198="",I198=""),"",MAX(0,I198-H198))</x:f>
      </x:c>
      <x:c r="K198" s="145"/>
      <x:c r="L198" s="145"/>
      <x:c r="M198" s="145"/>
      <x:c r="N198" s="145"/>
      <x:c r="O198" s="145"/>
      <x:c r="P198" s="209" t="str">
        <x:f>IF(OR(N198="",O198=""),"",MAX(0,N198-O198))</x:f>
      </x:c>
      <x:c r="Q198" s="209" t="str">
        <x:f>IF(L198="","",L198+IF(M198="",0,M198)-IF(N198="",0,N198))</x:f>
      </x:c>
      <x:c r="R198" s="210" t="str">
        <x:f>IF(OR(J198="",J198=0,N198=""),"",N198/J198)</x:f>
      </x:c>
      <x:c r="S198" s="210" t="str">
        <x:f>IF(OR(K198="",K198=0,N198=""),"",N198/K198*1000)</x:f>
      </x:c>
      <x:c r="T198" s="211" t="str">
        <x:f>IF(N198="","",N198*Parameter!$B$4)</x:f>
      </x:c>
      <x:c r="U198" s="212" t="str">
        <x:f>IF(B198="","",IF(OR(J198="",K198=""),"DATA TIDAK LENGKAP",IF(OR(N198&gt;Parameter!$B$5*1.2,R198&gt;Parameter!$B$6*1.2,S198&gt;Parameter!$B$7*1.2,P198&gt;0),"OVER LIMIT",IF(OR(N198&gt;Parameter!$B$5,R198&gt;Parameter!$B$6,S198&gt;Parameter!$B$7),"WARNING","NORMAL"))))</x:f>
      </x:c>
      <x:c r="V198" s="182"/>
      <x:c r="W198" s="188"/>
    </x:row>
    <x:row r="199">
      <x:c r="A199" s="194" t="n">
        <x:f>ROW()-4</x:f>
        <x:v>195</x:v>
      </x:c>
      <x:c r="B199" s="142"/>
      <x:c r="C199" s="143"/>
      <x:c r="D199" s="143"/>
      <x:c r="E199" s="182"/>
      <x:c r="F199" s="182"/>
      <x:c r="G199" s="182"/>
      <x:c r="H199" s="144"/>
      <x:c r="I199" s="144"/>
      <x:c r="J199" s="200" t="str">
        <x:f>IF(OR(H199="",I199=""),"",MAX(0,I199-H199))</x:f>
      </x:c>
      <x:c r="K199" s="145"/>
      <x:c r="L199" s="145"/>
      <x:c r="M199" s="145"/>
      <x:c r="N199" s="145"/>
      <x:c r="O199" s="145"/>
      <x:c r="P199" s="209" t="str">
        <x:f>IF(OR(N199="",O199=""),"",MAX(0,N199-O199))</x:f>
      </x:c>
      <x:c r="Q199" s="209" t="str">
        <x:f>IF(L199="","",L199+IF(M199="",0,M199)-IF(N199="",0,N199))</x:f>
      </x:c>
      <x:c r="R199" s="210" t="str">
        <x:f>IF(OR(J199="",J199=0,N199=""),"",N199/J199)</x:f>
      </x:c>
      <x:c r="S199" s="210" t="str">
        <x:f>IF(OR(K199="",K199=0,N199=""),"",N199/K199*1000)</x:f>
      </x:c>
      <x:c r="T199" s="211" t="str">
        <x:f>IF(N199="","",N199*Parameter!$B$4)</x:f>
      </x:c>
      <x:c r="U199" s="212" t="str">
        <x:f>IF(B199="","",IF(OR(J199="",K199=""),"DATA TIDAK LENGKAP",IF(OR(N199&gt;Parameter!$B$5*1.2,R199&gt;Parameter!$B$6*1.2,S199&gt;Parameter!$B$7*1.2,P199&gt;0),"OVER LIMIT",IF(OR(N199&gt;Parameter!$B$5,R199&gt;Parameter!$B$6,S199&gt;Parameter!$B$7),"WARNING","NORMAL"))))</x:f>
      </x:c>
      <x:c r="V199" s="182"/>
      <x:c r="W199" s="188"/>
    </x:row>
    <x:row r="200">
      <x:c r="A200" s="194" t="n">
        <x:f>ROW()-4</x:f>
        <x:v>196</x:v>
      </x:c>
      <x:c r="B200" s="142"/>
      <x:c r="C200" s="143"/>
      <x:c r="D200" s="143"/>
      <x:c r="E200" s="182"/>
      <x:c r="F200" s="182"/>
      <x:c r="G200" s="182"/>
      <x:c r="H200" s="144"/>
      <x:c r="I200" s="144"/>
      <x:c r="J200" s="200" t="str">
        <x:f>IF(OR(H200="",I200=""),"",MAX(0,I200-H200))</x:f>
      </x:c>
      <x:c r="K200" s="145"/>
      <x:c r="L200" s="145"/>
      <x:c r="M200" s="145"/>
      <x:c r="N200" s="145"/>
      <x:c r="O200" s="145"/>
      <x:c r="P200" s="209" t="str">
        <x:f>IF(OR(N200="",O200=""),"",MAX(0,N200-O200))</x:f>
      </x:c>
      <x:c r="Q200" s="209" t="str">
        <x:f>IF(L200="","",L200+IF(M200="",0,M200)-IF(N200="",0,N200))</x:f>
      </x:c>
      <x:c r="R200" s="210" t="str">
        <x:f>IF(OR(J200="",J200=0,N200=""),"",N200/J200)</x:f>
      </x:c>
      <x:c r="S200" s="210" t="str">
        <x:f>IF(OR(K200="",K200=0,N200=""),"",N200/K200*1000)</x:f>
      </x:c>
      <x:c r="T200" s="211" t="str">
        <x:f>IF(N200="","",N200*Parameter!$B$4)</x:f>
      </x:c>
      <x:c r="U200" s="212" t="str">
        <x:f>IF(B200="","",IF(OR(J200="",K200=""),"DATA TIDAK LENGKAP",IF(OR(N200&gt;Parameter!$B$5*1.2,R200&gt;Parameter!$B$6*1.2,S200&gt;Parameter!$B$7*1.2,P200&gt;0),"OVER LIMIT",IF(OR(N200&gt;Parameter!$B$5,R200&gt;Parameter!$B$6,S200&gt;Parameter!$B$7),"WARNING","NORMAL"))))</x:f>
      </x:c>
      <x:c r="V200" s="182"/>
      <x:c r="W200" s="188"/>
    </x:row>
    <x:row r="201">
      <x:c r="A201" s="194" t="n">
        <x:f>ROW()-4</x:f>
        <x:v>197</x:v>
      </x:c>
      <x:c r="B201" s="142"/>
      <x:c r="C201" s="143"/>
      <x:c r="D201" s="143"/>
      <x:c r="E201" s="182"/>
      <x:c r="F201" s="182"/>
      <x:c r="G201" s="182"/>
      <x:c r="H201" s="144"/>
      <x:c r="I201" s="144"/>
      <x:c r="J201" s="200" t="str">
        <x:f>IF(OR(H201="",I201=""),"",MAX(0,I201-H201))</x:f>
      </x:c>
      <x:c r="K201" s="145"/>
      <x:c r="L201" s="145"/>
      <x:c r="M201" s="145"/>
      <x:c r="N201" s="145"/>
      <x:c r="O201" s="145"/>
      <x:c r="P201" s="209" t="str">
        <x:f>IF(OR(N201="",O201=""),"",MAX(0,N201-O201))</x:f>
      </x:c>
      <x:c r="Q201" s="209" t="str">
        <x:f>IF(L201="","",L201+IF(M201="",0,M201)-IF(N201="",0,N201))</x:f>
      </x:c>
      <x:c r="R201" s="210" t="str">
        <x:f>IF(OR(J201="",J201=0,N201=""),"",N201/J201)</x:f>
      </x:c>
      <x:c r="S201" s="210" t="str">
        <x:f>IF(OR(K201="",K201=0,N201=""),"",N201/K201*1000)</x:f>
      </x:c>
      <x:c r="T201" s="211" t="str">
        <x:f>IF(N201="","",N201*Parameter!$B$4)</x:f>
      </x:c>
      <x:c r="U201" s="212" t="str">
        <x:f>IF(B201="","",IF(OR(J201="",K201=""),"DATA TIDAK LENGKAP",IF(OR(N201&gt;Parameter!$B$5*1.2,R201&gt;Parameter!$B$6*1.2,S201&gt;Parameter!$B$7*1.2,P201&gt;0),"OVER LIMIT",IF(OR(N201&gt;Parameter!$B$5,R201&gt;Parameter!$B$6,S201&gt;Parameter!$B$7),"WARNING","NORMAL"))))</x:f>
      </x:c>
      <x:c r="V201" s="182"/>
      <x:c r="W201" s="188"/>
    </x:row>
    <x:row r="202">
      <x:c r="A202" s="194" t="n">
        <x:f>ROW()-4</x:f>
        <x:v>198</x:v>
      </x:c>
      <x:c r="B202" s="142"/>
      <x:c r="C202" s="143"/>
      <x:c r="D202" s="143"/>
      <x:c r="E202" s="182"/>
      <x:c r="F202" s="182"/>
      <x:c r="G202" s="182"/>
      <x:c r="H202" s="144"/>
      <x:c r="I202" s="144"/>
      <x:c r="J202" s="200" t="str">
        <x:f>IF(OR(H202="",I202=""),"",MAX(0,I202-H202))</x:f>
      </x:c>
      <x:c r="K202" s="145"/>
      <x:c r="L202" s="145"/>
      <x:c r="M202" s="145"/>
      <x:c r="N202" s="145"/>
      <x:c r="O202" s="145"/>
      <x:c r="P202" s="209" t="str">
        <x:f>IF(OR(N202="",O202=""),"",MAX(0,N202-O202))</x:f>
      </x:c>
      <x:c r="Q202" s="209" t="str">
        <x:f>IF(L202="","",L202+IF(M202="",0,M202)-IF(N202="",0,N202))</x:f>
      </x:c>
      <x:c r="R202" s="210" t="str">
        <x:f>IF(OR(J202="",J202=0,N202=""),"",N202/J202)</x:f>
      </x:c>
      <x:c r="S202" s="210" t="str">
        <x:f>IF(OR(K202="",K202=0,N202=""),"",N202/K202*1000)</x:f>
      </x:c>
      <x:c r="T202" s="211" t="str">
        <x:f>IF(N202="","",N202*Parameter!$B$4)</x:f>
      </x:c>
      <x:c r="U202" s="212" t="str">
        <x:f>IF(B202="","",IF(OR(J202="",K202=""),"DATA TIDAK LENGKAP",IF(OR(N202&gt;Parameter!$B$5*1.2,R202&gt;Parameter!$B$6*1.2,S202&gt;Parameter!$B$7*1.2,P202&gt;0),"OVER LIMIT",IF(OR(N202&gt;Parameter!$B$5,R202&gt;Parameter!$B$6,S202&gt;Parameter!$B$7),"WARNING","NORMAL"))))</x:f>
      </x:c>
      <x:c r="V202" s="182"/>
      <x:c r="W202" s="188"/>
    </x:row>
    <x:row r="203">
      <x:c r="A203" s="194" t="n">
        <x:f>ROW()-4</x:f>
        <x:v>199</x:v>
      </x:c>
      <x:c r="B203" s="142"/>
      <x:c r="C203" s="143"/>
      <x:c r="D203" s="143"/>
      <x:c r="E203" s="182"/>
      <x:c r="F203" s="182"/>
      <x:c r="G203" s="182"/>
      <x:c r="H203" s="144"/>
      <x:c r="I203" s="144"/>
      <x:c r="J203" s="200" t="str">
        <x:f>IF(OR(H203="",I203=""),"",MAX(0,I203-H203))</x:f>
      </x:c>
      <x:c r="K203" s="145"/>
      <x:c r="L203" s="145"/>
      <x:c r="M203" s="145"/>
      <x:c r="N203" s="145"/>
      <x:c r="O203" s="145"/>
      <x:c r="P203" s="209" t="str">
        <x:f>IF(OR(N203="",O203=""),"",MAX(0,N203-O203))</x:f>
      </x:c>
      <x:c r="Q203" s="209" t="str">
        <x:f>IF(L203="","",L203+IF(M203="",0,M203)-IF(N203="",0,N203))</x:f>
      </x:c>
      <x:c r="R203" s="210" t="str">
        <x:f>IF(OR(J203="",J203=0,N203=""),"",N203/J203)</x:f>
      </x:c>
      <x:c r="S203" s="210" t="str">
        <x:f>IF(OR(K203="",K203=0,N203=""),"",N203/K203*1000)</x:f>
      </x:c>
      <x:c r="T203" s="211" t="str">
        <x:f>IF(N203="","",N203*Parameter!$B$4)</x:f>
      </x:c>
      <x:c r="U203" s="212" t="str">
        <x:f>IF(B203="","",IF(OR(J203="",K203=""),"DATA TIDAK LENGKAP",IF(OR(N203&gt;Parameter!$B$5*1.2,R203&gt;Parameter!$B$6*1.2,S203&gt;Parameter!$B$7*1.2,P203&gt;0),"OVER LIMIT",IF(OR(N203&gt;Parameter!$B$5,R203&gt;Parameter!$B$6,S203&gt;Parameter!$B$7),"WARNING","NORMAL"))))</x:f>
      </x:c>
      <x:c r="V203" s="182"/>
      <x:c r="W203" s="188"/>
    </x:row>
    <x:row r="204">
      <x:c r="A204" s="195" t="n">
        <x:f>ROW()-4</x:f>
        <x:v>200</x:v>
      </x:c>
      <x:c r="B204" s="150"/>
      <x:c r="C204" s="151"/>
      <x:c r="D204" s="151"/>
      <x:c r="E204" s="183"/>
      <x:c r="F204" s="183"/>
      <x:c r="G204" s="183"/>
      <x:c r="H204" s="152"/>
      <x:c r="I204" s="152"/>
      <x:c r="J204" s="201" t="str">
        <x:f>IF(OR(H204="",I204=""),"",MAX(0,I204-H204))</x:f>
      </x:c>
      <x:c r="K204" s="153"/>
      <x:c r="L204" s="153"/>
      <x:c r="M204" s="153"/>
      <x:c r="N204" s="153"/>
      <x:c r="O204" s="153"/>
      <x:c r="P204" s="213" t="str">
        <x:f>IF(OR(N204="",O204=""),"",MAX(0,N204-O204))</x:f>
      </x:c>
      <x:c r="Q204" s="213" t="str">
        <x:f>IF(L204="","",L204+IF(M204="",0,M204)-IF(N204="",0,N204))</x:f>
      </x:c>
      <x:c r="R204" s="214" t="str">
        <x:f>IF(OR(J204="",J204=0,N204=""),"",N204/J204)</x:f>
      </x:c>
      <x:c r="S204" s="214" t="str">
        <x:f>IF(OR(K204="",K204=0,N204=""),"",N204/K204*1000)</x:f>
      </x:c>
      <x:c r="T204" s="215" t="str">
        <x:f>IF(N204="","",N204*Parameter!$B$4)</x:f>
      </x:c>
      <x:c r="U204" s="216" t="str">
        <x:f>IF(B204="","",IF(OR(J204="",K204=""),"DATA TIDAK LENGKAP",IF(OR(N204&gt;Parameter!$B$5*1.2,R204&gt;Parameter!$B$6*1.2,S204&gt;Parameter!$B$7*1.2,P204&gt;0),"OVER LIMIT",IF(OR(N204&gt;Parameter!$B$5,R204&gt;Parameter!$B$6,S204&gt;Parameter!$B$7),"WARNING","NORMAL"))))</x:f>
      </x:c>
      <x:c r="V204" s="183"/>
      <x:c r="W204" s="189"/>
    </x:row>
  </x:sheetData>
  <x:mergeCells>
    <x:mergeCell ref="A1:W1"/>
    <x:mergeCell ref="A2:W2"/>
  </x:mergeCells>
  <x:conditionalFormatting sqref="U5:U204">
    <x:cfRule type="expression" dxfId="0" priority="1">
      <x:formula>U5="NORMAL"</x:formula>
    </x:cfRule>
    <x:cfRule type="expression" dxfId="1" priority="2">
      <x:formula>U5="WARNING"</x:formula>
    </x:cfRule>
    <x:cfRule type="expression" dxfId="2" priority="3">
      <x:formula>U5="OVER LIMIT"</x:formula>
    </x:cfRule>
    <x:cfRule type="expression" dxfId="3" priority="4">
      <x:formula>U5="DATA TIDAK LENGKAP"</x:formula>
    </x:cfRule>
  </x:conditionalFormatting>
  <x:conditionalFormatting sqref="N5:N204">
    <x:cfRule type="expression" dxfId="4" priority="5">
      <x:formula>N5&gt;Parameter!$B$5</x:formula>
    </x:cfRule>
  </x:conditionalFormatting>
  <x:conditionalFormatting sqref="P5:P204">
    <x:cfRule type="expression" dxfId="5" priority="6">
      <x:formula>P5&gt;0</x:formula>
    </x:cfRule>
  </x:conditionalFormatting>
  <x:conditionalFormatting sqref="R5:R204">
    <x:cfRule type="expression" dxfId="6" priority="7">
      <x:formula>R5&gt;Parameter!$B$6</x:formula>
    </x:cfRule>
  </x:conditionalFormatting>
  <x:conditionalFormatting sqref="S5:S204">
    <x:cfRule type="expression" dxfId="7" priority="8">
      <x:formula>S5&gt;Parameter!$B$7</x:formula>
    </x:cfRule>
  </x:conditionalFormatting>
  <x:dataValidations count="2">
    <x:dataValidation type="list" sqref="C5:C204">
      <x:formula1>"Shift 1,Shift 2,Shift 3"</x:formula1>
    </x:dataValidation>
    <x:dataValidation type="list" sqref="D5:D204">
      <x:formula1>"CAT RM500"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1762fb7e6946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4" hidden="0" customWidth="1"/>
    <x:col min="7" max="7" width="18" hidden="0" customWidth="1"/>
    <x:col min="8" max="8" width="12" hidden="0" customWidth="1"/>
    <x:col min="9" max="9" width="13" hidden="0" customWidth="1"/>
    <x:col min="10" max="10" width="15" hidden="0" customWidth="1"/>
    <x:col min="11" max="11" width="11" hidden="0" customWidth="1"/>
    <x:col min="12" max="12" width="18" hidden="0" customWidth="1"/>
  </x:cols>
  <x:sheetData>
    <x:row r="1">
      <x:c r="A1" s="231" t="str">
        <x:v>DASHBOARD KONTROL CUTTING BIT — CAT RM500</x:v>
      </x:c>
      <x:c r="B1" s="231"/>
      <x:c r="C1" s="231"/>
      <x:c r="D1" s="231"/>
      <x:c r="E1" s="231"/>
      <x:c r="F1" s="231"/>
      <x:c r="G1" s="231"/>
      <x:c r="H1" s="231"/>
      <x:c r="I1" s="231"/>
      <x:c r="J1" s="231"/>
      <x:c r="K1" s="231"/>
      <x:c r="L1" s="231"/>
    </x:row>
    <x:row r="2">
      <x:c r="A2" s="236" t="str">
        <x:v>Dashboard otomatis berdasarkan data pada sheet “Input Harian”</x:v>
      </x:c>
      <x:c r="B2" s="236"/>
      <x:c r="C2" s="236"/>
      <x:c r="D2" s="236"/>
      <x:c r="E2" s="236"/>
      <x:c r="F2" s="236"/>
      <x:c r="G2" s="236"/>
      <x:c r="H2" s="236"/>
      <x:c r="I2" s="236"/>
      <x:c r="J2" s="236"/>
      <x:c r="K2" s="236"/>
      <x:c r="L2" s="236"/>
    </x:row>
    <x:row r="4">
      <x:c r="A4" s="239" t="str">
        <x:v>TOTAL BIT TERPAKAI</x:v>
      </x:c>
      <x:c r="B4" s="239"/>
      <x:c r="C4" s="239"/>
      <x:c r="D4" s="239" t="str">
        <x:v>TOTAL BIAYA</x:v>
      </x:c>
      <x:c r="E4" s="239"/>
      <x:c r="F4" s="239"/>
      <x:c r="G4" s="239" t="str">
        <x:v>RATA-RATA BIT/HM</x:v>
      </x:c>
      <x:c r="H4" s="239"/>
      <x:c r="I4" s="239"/>
      <x:c r="J4" s="239" t="str">
        <x:v>JUMLAH OVER LIMIT</x:v>
      </x:c>
      <x:c r="K4" s="239"/>
      <x:c r="L4" s="239"/>
    </x:row>
    <x:row r="5">
      <x:c r="A5" s="297" t="n">
        <x:f>SUM('Input Harian'!N5:N204)</x:f>
        <x:v>0</x:v>
      </x:c>
      <x:c r="B5" s="261"/>
      <x:c r="C5" s="262"/>
      <x:c r="D5" s="299" t="n">
        <x:f>SUM('Input Harian'!T5:T204)</x:f>
        <x:v>0</x:v>
      </x:c>
      <x:c r="E5" s="261"/>
      <x:c r="F5" s="262"/>
      <x:c r="G5" s="301" t="n">
        <x:f>IFERROR(AVERAGEIF('Input Harian'!R5:R204,"&gt;0"),0)</x:f>
        <x:v>0</x:v>
      </x:c>
      <x:c r="H5" s="261"/>
      <x:c r="I5" s="262"/>
      <x:c r="J5" s="297" t="n">
        <x:f>COUNTIF('Input Harian'!U5:U204,"OVER LIMIT")</x:f>
        <x:v>0</x:v>
      </x:c>
      <x:c r="K5" s="261"/>
      <x:c r="L5" s="262"/>
    </x:row>
    <x:row r="6">
      <x:c r="A6" s="263"/>
      <x:c r="B6" s="264"/>
      <x:c r="C6" s="265"/>
      <x:c r="D6" s="263"/>
      <x:c r="E6" s="264"/>
      <x:c r="F6" s="265"/>
      <x:c r="G6" s="263"/>
      <x:c r="H6" s="264"/>
      <x:c r="I6" s="265"/>
      <x:c r="J6" s="263"/>
      <x:c r="K6" s="264"/>
      <x:c r="L6" s="265"/>
    </x:row>
    <x:row r="7">
      <x:c r="A7" s="266"/>
      <x:c r="B7" s="267"/>
      <x:c r="C7" s="268"/>
      <x:c r="D7" s="266"/>
      <x:c r="E7" s="267"/>
      <x:c r="F7" s="268"/>
      <x:c r="G7" s="266"/>
      <x:c r="H7" s="267"/>
      <x:c r="I7" s="268"/>
      <x:c r="J7" s="266"/>
      <x:c r="K7" s="267"/>
      <x:c r="L7" s="268"/>
    </x:row>
    <x:row r="10">
      <x:c r="A10" s="304" t="str">
        <x:v>RINGKASAN STATUS</x:v>
      </x:c>
      <x:c r="B10" s="304"/>
      <x:c r="C10" s="304"/>
      <x:c r="D10" s="304"/>
      <x:c r="F10" s="304" t="str">
        <x:v>MONITORING DATA TERAKHIR</x:v>
      </x:c>
      <x:c r="G10" s="304"/>
      <x:c r="H10" s="304"/>
      <x:c r="I10" s="304"/>
      <x:c r="J10" s="304"/>
      <x:c r="K10" s="304"/>
      <x:c r="L10" s="304"/>
    </x:row>
    <x:row r="11">
      <x:c r="A11" s="307" t="str">
        <x:v>Status</x:v>
      </x:c>
      <x:c r="B11" s="308" t="str">
        <x:v>Jumlah Hari</x:v>
      </x:c>
      <x:c r="F11" s="319" t="str">
        <x:v>Tanggal</x:v>
      </x:c>
      <x:c r="G11" s="320" t="str">
        <x:v>Operator</x:v>
      </x:c>
      <x:c r="H11" s="320" t="str">
        <x:v>Jam Kerja</x:v>
      </x:c>
      <x:c r="I11" s="320" t="str">
        <x:v>Produksi</x:v>
      </x:c>
      <x:c r="J11" s="320" t="str">
        <x:v>Bit Terpasang</x:v>
      </x:c>
      <x:c r="K11" s="320" t="str">
        <x:v>Bit/HM</x:v>
      </x:c>
      <x:c r="L11" s="321" t="str">
        <x:v>Status</x:v>
      </x:c>
    </x:row>
    <x:row r="12">
      <x:c r="A12" s="29" t="str">
        <x:v>NORMAL</x:v>
      </x:c>
      <x:c r="B12" s="31" t="n">
        <x:f>COUNTIF('Input Harian'!U5:U204,A12)</x:f>
        <x:v>0</x:v>
      </x:c>
      <x:c r="F12" s="322" t="n">
        <x:f>'Input Harian'!B5</x:f>
        <x:v>0</x:v>
      </x:c>
      <x:c r="G12" s="30" t="n">
        <x:f>'Input Harian'!F5</x:f>
        <x:v>0</x:v>
      </x:c>
      <x:c r="H12" s="20" t="n">
        <x:f>'Input Harian'!J5</x:f>
        <x:v>0</x:v>
      </x:c>
      <x:c r="I12" s="20" t="n">
        <x:f>'Input Harian'!K5</x:f>
        <x:v>0</x:v>
      </x:c>
      <x:c r="J12" s="20" t="n">
        <x:f>'Input Harian'!N5</x:f>
        <x:v>0</x:v>
      </x:c>
      <x:c r="K12" s="20" t="str">
        <x:f>'Input Harian'!R5</x:f>
      </x:c>
      <x:c r="L12" s="106" t="n">
        <x:f>'Input Harian'!U5</x:f>
        <x:v>0</x:v>
      </x:c>
    </x:row>
    <x:row r="13">
      <x:c r="A13" s="29" t="str">
        <x:v>WARNING</x:v>
      </x:c>
      <x:c r="B13" s="31" t="n">
        <x:f>COUNTIF('Input Harian'!U6:U205,A13)</x:f>
        <x:v>0</x:v>
      </x:c>
      <x:c r="F13" s="322" t="n">
        <x:f>'Input Harian'!B6</x:f>
        <x:v>0</x:v>
      </x:c>
      <x:c r="G13" s="30" t="n">
        <x:f>'Input Harian'!F6</x:f>
        <x:v>0</x:v>
      </x:c>
      <x:c r="H13" s="20" t="n">
        <x:f>'Input Harian'!J6</x:f>
        <x:v>0</x:v>
      </x:c>
      <x:c r="I13" s="20" t="n">
        <x:f>'Input Harian'!K6</x:f>
        <x:v>0</x:v>
      </x:c>
      <x:c r="J13" s="20" t="n">
        <x:f>'Input Harian'!N6</x:f>
        <x:v>0</x:v>
      </x:c>
      <x:c r="K13" s="20" t="str">
        <x:f>'Input Harian'!R6</x:f>
      </x:c>
      <x:c r="L13" s="106" t="n">
        <x:f>'Input Harian'!U6</x:f>
        <x:v>0</x:v>
      </x:c>
    </x:row>
    <x:row r="14">
      <x:c r="A14" s="29" t="str">
        <x:v>OVER LIMIT</x:v>
      </x:c>
      <x:c r="B14" s="31" t="n">
        <x:f>COUNTIF('Input Harian'!U7:U206,A14)</x:f>
        <x:v>0</x:v>
      </x:c>
      <x:c r="F14" s="322" t="n">
        <x:f>'Input Harian'!B7</x:f>
        <x:v>0</x:v>
      </x:c>
      <x:c r="G14" s="30" t="n">
        <x:f>'Input Harian'!F7</x:f>
        <x:v>0</x:v>
      </x:c>
      <x:c r="H14" s="20" t="n">
        <x:f>'Input Harian'!J7</x:f>
        <x:v>0</x:v>
      </x:c>
      <x:c r="I14" s="20" t="n">
        <x:f>'Input Harian'!K7</x:f>
        <x:v>0</x:v>
      </x:c>
      <x:c r="J14" s="20" t="n">
        <x:f>'Input Harian'!N7</x:f>
        <x:v>0</x:v>
      </x:c>
      <x:c r="K14" s="20" t="str">
        <x:f>'Input Harian'!R7</x:f>
      </x:c>
      <x:c r="L14" s="106" t="n">
        <x:f>'Input Harian'!U7</x:f>
        <x:v>0</x:v>
      </x:c>
    </x:row>
    <x:row r="15">
      <x:c r="A15" s="309" t="str">
        <x:v>DATA TIDAK LENGKAP</x:v>
      </x:c>
      <x:c r="B15" s="310" t="n">
        <x:f>COUNTIF('Input Harian'!U8:U207,A15)</x:f>
        <x:v>0</x:v>
      </x:c>
      <x:c r="F15" s="322" t="n">
        <x:f>'Input Harian'!B8</x:f>
        <x:v>0</x:v>
      </x:c>
      <x:c r="G15" s="30" t="n">
        <x:f>'Input Harian'!F8</x:f>
        <x:v>0</x:v>
      </x:c>
      <x:c r="H15" s="20" t="n">
        <x:f>'Input Harian'!J8</x:f>
        <x:v>0</x:v>
      </x:c>
      <x:c r="I15" s="20" t="n">
        <x:f>'Input Harian'!K8</x:f>
        <x:v>0</x:v>
      </x:c>
      <x:c r="J15" s="20" t="n">
        <x:f>'Input Harian'!N8</x:f>
        <x:v>0</x:v>
      </x:c>
      <x:c r="K15" s="20" t="str">
        <x:f>'Input Harian'!R8</x:f>
      </x:c>
      <x:c r="L15" s="106" t="n">
        <x:f>'Input Harian'!U8</x:f>
        <x:v>0</x:v>
      </x:c>
    </x:row>
    <x:row r="16">
      <x:c r="F16" s="322" t="n">
        <x:f>'Input Harian'!B9</x:f>
        <x:v>0</x:v>
      </x:c>
      <x:c r="G16" s="30" t="n">
        <x:f>'Input Harian'!F9</x:f>
        <x:v>0</x:v>
      </x:c>
      <x:c r="H16" s="20" t="n">
        <x:f>'Input Harian'!J9</x:f>
        <x:v>0</x:v>
      </x:c>
      <x:c r="I16" s="20" t="n">
        <x:f>'Input Harian'!K9</x:f>
        <x:v>0</x:v>
      </x:c>
      <x:c r="J16" s="20" t="n">
        <x:f>'Input Harian'!N9</x:f>
        <x:v>0</x:v>
      </x:c>
      <x:c r="K16" s="20" t="str">
        <x:f>'Input Harian'!R9</x:f>
      </x:c>
      <x:c r="L16" s="106" t="n">
        <x:f>'Input Harian'!U9</x:f>
        <x:v>0</x:v>
      </x:c>
    </x:row>
    <x:row r="17">
      <x:c r="F17" s="322" t="n">
        <x:f>'Input Harian'!B10</x:f>
        <x:v>0</x:v>
      </x:c>
      <x:c r="G17" s="30" t="n">
        <x:f>'Input Harian'!F10</x:f>
        <x:v>0</x:v>
      </x:c>
      <x:c r="H17" s="20" t="n">
        <x:f>'Input Harian'!J10</x:f>
        <x:v>0</x:v>
      </x:c>
      <x:c r="I17" s="20" t="n">
        <x:f>'Input Harian'!K10</x:f>
        <x:v>0</x:v>
      </x:c>
      <x:c r="J17" s="20" t="n">
        <x:f>'Input Harian'!N10</x:f>
        <x:v>0</x:v>
      </x:c>
      <x:c r="K17" s="20" t="str">
        <x:f>'Input Harian'!R10</x:f>
      </x:c>
      <x:c r="L17" s="106" t="n">
        <x:f>'Input Harian'!U10</x:f>
        <x:v>0</x:v>
      </x:c>
    </x:row>
    <x:row r="18">
      <x:c r="A18" s="12" t="str">
        <x:v>Tanggal</x:v>
      </x:c>
      <x:c r="B18" s="12" t="str">
        <x:v>Bit Terpasang</x:v>
      </x:c>
      <x:c r="C18" s="12" t="str">
        <x:v>Standar Maksimum</x:v>
      </x:c>
      <x:c r="F18" s="322" t="n">
        <x:f>'Input Harian'!B11</x:f>
        <x:v>0</x:v>
      </x:c>
      <x:c r="G18" s="30" t="n">
        <x:f>'Input Harian'!F11</x:f>
        <x:v>0</x:v>
      </x:c>
      <x:c r="H18" s="20" t="n">
        <x:f>'Input Harian'!J11</x:f>
        <x:v>0</x:v>
      </x:c>
      <x:c r="I18" s="20" t="n">
        <x:f>'Input Harian'!K11</x:f>
        <x:v>0</x:v>
      </x:c>
      <x:c r="J18" s="20" t="n">
        <x:f>'Input Harian'!N11</x:f>
        <x:v>0</x:v>
      </x:c>
      <x:c r="K18" s="20" t="str">
        <x:f>'Input Harian'!R11</x:f>
      </x:c>
      <x:c r="L18" s="106" t="n">
        <x:f>'Input Harian'!U11</x:f>
        <x:v>0</x:v>
      </x:c>
    </x:row>
    <x:row r="19">
      <x:c r="A19" s="329" t="n">
        <x:f>'Input Harian'!B5</x:f>
        <x:v>0</x:v>
      </x:c>
      <x:c r="B19" t="n">
        <x:f>'Input Harian'!N5</x:f>
        <x:v>0</x:v>
      </x:c>
      <x:c r="C19" t="n">
        <x:f>Parameter!$B$5</x:f>
        <x:v>30</x:v>
      </x:c>
      <x:c r="F19" s="322" t="n">
        <x:f>'Input Harian'!B12</x:f>
        <x:v>0</x:v>
      </x:c>
      <x:c r="G19" s="30" t="n">
        <x:f>'Input Harian'!F12</x:f>
        <x:v>0</x:v>
      </x:c>
      <x:c r="H19" s="20" t="n">
        <x:f>'Input Harian'!J12</x:f>
        <x:v>0</x:v>
      </x:c>
      <x:c r="I19" s="20" t="n">
        <x:f>'Input Harian'!K12</x:f>
        <x:v>0</x:v>
      </x:c>
      <x:c r="J19" s="20" t="n">
        <x:f>'Input Harian'!N12</x:f>
        <x:v>0</x:v>
      </x:c>
      <x:c r="K19" s="20" t="str">
        <x:f>'Input Harian'!R12</x:f>
      </x:c>
      <x:c r="L19" s="106" t="n">
        <x:f>'Input Harian'!U12</x:f>
        <x:v>0</x:v>
      </x:c>
    </x:row>
    <x:row r="20">
      <x:c r="A20" s="329" t="n">
        <x:f>'Input Harian'!B6</x:f>
        <x:v>0</x:v>
      </x:c>
      <x:c r="B20" t="n">
        <x:f>'Input Harian'!N6</x:f>
        <x:v>0</x:v>
      </x:c>
      <x:c r="C20" t="n">
        <x:f>Parameter!$B$5</x:f>
        <x:v>30</x:v>
      </x:c>
      <x:c r="F20" s="322" t="n">
        <x:f>'Input Harian'!B13</x:f>
        <x:v>0</x:v>
      </x:c>
      <x:c r="G20" s="30" t="n">
        <x:f>'Input Harian'!F13</x:f>
        <x:v>0</x:v>
      </x:c>
      <x:c r="H20" s="20" t="n">
        <x:f>'Input Harian'!J13</x:f>
        <x:v>0</x:v>
      </x:c>
      <x:c r="I20" s="20" t="n">
        <x:f>'Input Harian'!K13</x:f>
        <x:v>0</x:v>
      </x:c>
      <x:c r="J20" s="20" t="n">
        <x:f>'Input Harian'!N13</x:f>
        <x:v>0</x:v>
      </x:c>
      <x:c r="K20" s="20" t="str">
        <x:f>'Input Harian'!R13</x:f>
      </x:c>
      <x:c r="L20" s="106" t="n">
        <x:f>'Input Harian'!U13</x:f>
        <x:v>0</x:v>
      </x:c>
    </x:row>
    <x:row r="21">
      <x:c r="A21" s="329" t="n">
        <x:f>'Input Harian'!B7</x:f>
        <x:v>0</x:v>
      </x:c>
      <x:c r="B21" t="n">
        <x:f>'Input Harian'!N7</x:f>
        <x:v>0</x:v>
      </x:c>
      <x:c r="C21" t="n">
        <x:f>Parameter!$B$5</x:f>
        <x:v>30</x:v>
      </x:c>
      <x:c r="F21" s="323" t="n">
        <x:f>'Input Harian'!B14</x:f>
        <x:v>0</x:v>
      </x:c>
      <x:c r="G21" s="109" t="n">
        <x:f>'Input Harian'!F14</x:f>
        <x:v>0</x:v>
      </x:c>
      <x:c r="H21" s="112" t="n">
        <x:f>'Input Harian'!J14</x:f>
        <x:v>0</x:v>
      </x:c>
      <x:c r="I21" s="112" t="n">
        <x:f>'Input Harian'!K14</x:f>
        <x:v>0</x:v>
      </x:c>
      <x:c r="J21" s="112" t="n">
        <x:f>'Input Harian'!N14</x:f>
        <x:v>0</x:v>
      </x:c>
      <x:c r="K21" s="112" t="str">
        <x:f>'Input Harian'!R14</x:f>
      </x:c>
      <x:c r="L21" s="114" t="n">
        <x:f>'Input Harian'!U14</x:f>
        <x:v>0</x:v>
      </x:c>
    </x:row>
    <x:row r="22">
      <x:c r="A22" s="329" t="n">
        <x:f>'Input Harian'!B8</x:f>
        <x:v>0</x:v>
      </x:c>
      <x:c r="B22" t="n">
        <x:f>'Input Harian'!N8</x:f>
        <x:v>0</x:v>
      </x:c>
      <x:c r="C22" t="n">
        <x:f>Parameter!$B$5</x:f>
        <x:v>30</x:v>
      </x:c>
    </x:row>
    <x:row r="23">
      <x:c r="A23" s="329" t="n">
        <x:f>'Input Harian'!B9</x:f>
        <x:v>0</x:v>
      </x:c>
      <x:c r="B23" t="n">
        <x:f>'Input Harian'!N9</x:f>
        <x:v>0</x:v>
      </x:c>
      <x:c r="C23" t="n">
        <x:f>Parameter!$B$5</x:f>
        <x:v>30</x:v>
      </x:c>
    </x:row>
    <x:row r="24">
      <x:c r="A24" s="329" t="n">
        <x:f>'Input Harian'!B10</x:f>
        <x:v>0</x:v>
      </x:c>
      <x:c r="B24" t="n">
        <x:f>'Input Harian'!N10</x:f>
        <x:v>0</x:v>
      </x:c>
      <x:c r="C24" t="n">
        <x:f>Parameter!$B$5</x:f>
        <x:v>30</x:v>
      </x:c>
    </x:row>
    <x:row r="25">
      <x:c r="A25" s="329" t="n">
        <x:f>'Input Harian'!B11</x:f>
        <x:v>0</x:v>
      </x:c>
      <x:c r="B25" t="n">
        <x:f>'Input Harian'!N11</x:f>
        <x:v>0</x:v>
      </x:c>
      <x:c r="C25" t="n">
        <x:f>Parameter!$B$5</x:f>
        <x:v>30</x:v>
      </x:c>
    </x:row>
    <x:row r="26">
      <x:c r="A26" s="329" t="n">
        <x:f>'Input Harian'!B12</x:f>
        <x:v>0</x:v>
      </x:c>
      <x:c r="B26" t="n">
        <x:f>'Input Harian'!N12</x:f>
        <x:v>0</x:v>
      </x:c>
      <x:c r="C26" t="n">
        <x:f>Parameter!$B$5</x:f>
        <x:v>30</x:v>
      </x:c>
    </x:row>
    <x:row r="27">
      <x:c r="A27" s="329" t="n">
        <x:f>'Input Harian'!B13</x:f>
        <x:v>0</x:v>
      </x:c>
      <x:c r="B27" t="n">
        <x:f>'Input Harian'!N13</x:f>
        <x:v>0</x:v>
      </x:c>
      <x:c r="C27" t="n">
        <x:f>Parameter!$B$5</x:f>
        <x:v>30</x:v>
      </x:c>
    </x:row>
    <x:row r="28">
      <x:c r="A28" s="329" t="n">
        <x:f>'Input Harian'!B14</x:f>
        <x:v>0</x:v>
      </x:c>
      <x:c r="B28" t="n">
        <x:f>'Input Harian'!N14</x:f>
        <x:v>0</x:v>
      </x:c>
      <x:c r="C28" t="n">
        <x:f>Parameter!$B$5</x:f>
        <x:v>30</x:v>
      </x:c>
    </x:row>
    <x:row r="29">
      <x:c r="A29" s="329" t="n">
        <x:f>'Input Harian'!B15</x:f>
        <x:v>0</x:v>
      </x:c>
      <x:c r="B29" t="n">
        <x:f>'Input Harian'!N15</x:f>
        <x:v>0</x:v>
      </x:c>
      <x:c r="C29" t="n">
        <x:f>Parameter!$B$5</x:f>
        <x:v>30</x:v>
      </x:c>
    </x:row>
    <x:row r="30">
      <x:c r="A30" s="329" t="n">
        <x:f>'Input Harian'!B16</x:f>
        <x:v>0</x:v>
      </x:c>
      <x:c r="B30" t="n">
        <x:f>'Input Harian'!N16</x:f>
        <x:v>0</x:v>
      </x:c>
      <x:c r="C30" t="n">
        <x:f>Parameter!$B$5</x:f>
        <x:v>30</x:v>
      </x:c>
    </x:row>
    <x:row r="31">
      <x:c r="A31" s="329" t="n">
        <x:f>'Input Harian'!B17</x:f>
        <x:v>0</x:v>
      </x:c>
      <x:c r="B31" t="n">
        <x:f>'Input Harian'!N17</x:f>
        <x:v>0</x:v>
      </x:c>
      <x:c r="C31" t="n">
        <x:f>Parameter!$B$5</x:f>
        <x:v>30</x:v>
      </x:c>
    </x:row>
    <x:row r="32">
      <x:c r="A32" s="329" t="n">
        <x:f>'Input Harian'!B18</x:f>
        <x:v>0</x:v>
      </x:c>
      <x:c r="B32" t="n">
        <x:f>'Input Harian'!N18</x:f>
        <x:v>0</x:v>
      </x:c>
      <x:c r="C32" t="n">
        <x:f>Parameter!$B$5</x:f>
        <x:v>30</x:v>
      </x:c>
    </x:row>
    <x:row r="33">
      <x:c r="A33" s="329" t="n">
        <x:f>'Input Harian'!B19</x:f>
        <x:v>0</x:v>
      </x:c>
      <x:c r="B33" t="n">
        <x:f>'Input Harian'!N19</x:f>
        <x:v>0</x:v>
      </x:c>
      <x:c r="C33" t="n">
        <x:f>Parameter!$B$5</x:f>
        <x:v>30</x:v>
      </x:c>
    </x:row>
    <x:row r="34">
      <x:c r="A34" s="329" t="n">
        <x:f>'Input Harian'!B20</x:f>
        <x:v>0</x:v>
      </x:c>
      <x:c r="B34" t="n">
        <x:f>'Input Harian'!N20</x:f>
        <x:v>0</x:v>
      </x:c>
      <x:c r="C34" t="n">
        <x:f>Parameter!$B$5</x:f>
        <x:v>30</x:v>
      </x:c>
    </x:row>
    <x:row r="35">
      <x:c r="A35" s="329" t="n">
        <x:f>'Input Harian'!B21</x:f>
        <x:v>0</x:v>
      </x:c>
      <x:c r="B35" t="n">
        <x:f>'Input Harian'!N21</x:f>
        <x:v>0</x:v>
      </x:c>
      <x:c r="C35" t="n">
        <x:f>Parameter!$B$5</x:f>
        <x:v>30</x:v>
      </x:c>
    </x:row>
    <x:row r="36">
      <x:c r="A36" s="329" t="n">
        <x:f>'Input Harian'!B22</x:f>
        <x:v>0</x:v>
      </x:c>
      <x:c r="B36" t="n">
        <x:f>'Input Harian'!N22</x:f>
        <x:v>0</x:v>
      </x:c>
      <x:c r="C36" t="n">
        <x:f>Parameter!$B$5</x:f>
        <x:v>30</x:v>
      </x:c>
    </x:row>
    <x:row r="37">
      <x:c r="A37" s="329" t="n">
        <x:f>'Input Harian'!B23</x:f>
        <x:v>0</x:v>
      </x:c>
      <x:c r="B37" t="n">
        <x:f>'Input Harian'!N23</x:f>
        <x:v>0</x:v>
      </x:c>
      <x:c r="C37" t="n">
        <x:f>Parameter!$B$5</x:f>
        <x:v>30</x:v>
      </x:c>
    </x:row>
    <x:row r="38">
      <x:c r="A38" s="329" t="n">
        <x:f>'Input Harian'!B24</x:f>
        <x:v>0</x:v>
      </x:c>
      <x:c r="B38" t="n">
        <x:f>'Input Harian'!N24</x:f>
        <x:v>0</x:v>
      </x:c>
      <x:c r="C38" t="n">
        <x:f>Parameter!$B$5</x:f>
        <x:v>30</x:v>
      </x:c>
    </x:row>
    <x:row r="39">
      <x:c r="A39" s="329" t="n">
        <x:f>'Input Harian'!B25</x:f>
        <x:v>0</x:v>
      </x:c>
      <x:c r="B39" t="n">
        <x:f>'Input Harian'!N25</x:f>
        <x:v>0</x:v>
      </x:c>
      <x:c r="C39" t="n">
        <x:f>Parameter!$B$5</x:f>
        <x:v>30</x:v>
      </x:c>
    </x:row>
    <x:row r="40">
      <x:c r="A40" s="329" t="n">
        <x:f>'Input Harian'!B26</x:f>
        <x:v>0</x:v>
      </x:c>
      <x:c r="B40" t="n">
        <x:f>'Input Harian'!N26</x:f>
        <x:v>0</x:v>
      </x:c>
      <x:c r="C40" t="n">
        <x:f>Parameter!$B$5</x:f>
        <x:v>30</x:v>
      </x:c>
    </x:row>
    <x:row r="41">
      <x:c r="A41" s="329" t="n">
        <x:f>'Input Harian'!B27</x:f>
        <x:v>0</x:v>
      </x:c>
      <x:c r="B41" t="n">
        <x:f>'Input Harian'!N27</x:f>
        <x:v>0</x:v>
      </x:c>
      <x:c r="C41" t="n">
        <x:f>Parameter!$B$5</x:f>
        <x:v>30</x:v>
      </x:c>
    </x:row>
    <x:row r="42">
      <x:c r="A42" s="329" t="n">
        <x:f>'Input Harian'!B28</x:f>
        <x:v>0</x:v>
      </x:c>
      <x:c r="B42" t="n">
        <x:f>'Input Harian'!N28</x:f>
        <x:v>0</x:v>
      </x:c>
      <x:c r="C42" t="n">
        <x:f>Parameter!$B$5</x:f>
        <x:v>30</x:v>
      </x:c>
    </x:row>
    <x:row r="43">
      <x:c r="A43" s="329" t="n">
        <x:f>'Input Harian'!B29</x:f>
        <x:v>0</x:v>
      </x:c>
      <x:c r="B43" t="n">
        <x:f>'Input Harian'!N29</x:f>
        <x:v>0</x:v>
      </x:c>
      <x:c r="C43" t="n">
        <x:f>Parameter!$B$5</x:f>
        <x:v>30</x:v>
      </x:c>
    </x:row>
    <x:row r="44">
      <x:c r="A44" s="329" t="n">
        <x:f>'Input Harian'!B30</x:f>
        <x:v>0</x:v>
      </x:c>
      <x:c r="B44" t="n">
        <x:f>'Input Harian'!N30</x:f>
        <x:v>0</x:v>
      </x:c>
      <x:c r="C44" t="n">
        <x:f>Parameter!$B$5</x:f>
        <x:v>30</x:v>
      </x:c>
    </x:row>
    <x:row r="45">
      <x:c r="A45" s="329" t="n">
        <x:f>'Input Harian'!B31</x:f>
        <x:v>0</x:v>
      </x:c>
      <x:c r="B45" t="n">
        <x:f>'Input Harian'!N31</x:f>
        <x:v>0</x:v>
      </x:c>
      <x:c r="C45" t="n">
        <x:f>Parameter!$B$5</x:f>
        <x:v>30</x:v>
      </x:c>
    </x:row>
    <x:row r="46">
      <x:c r="A46" s="329" t="n">
        <x:f>'Input Harian'!B32</x:f>
        <x:v>0</x:v>
      </x:c>
      <x:c r="B46" t="n">
        <x:f>'Input Harian'!N32</x:f>
        <x:v>0</x:v>
      </x:c>
      <x:c r="C46" t="n">
        <x:f>Parameter!$B$5</x:f>
        <x:v>30</x:v>
      </x:c>
    </x:row>
    <x:row r="47">
      <x:c r="A47" s="329" t="n">
        <x:f>'Input Harian'!B33</x:f>
        <x:v>0</x:v>
      </x:c>
      <x:c r="B47" t="n">
        <x:f>'Input Harian'!N33</x:f>
        <x:v>0</x:v>
      </x:c>
      <x:c r="C47" t="n">
        <x:f>Parameter!$B$5</x:f>
        <x:v>30</x:v>
      </x:c>
    </x:row>
    <x:row r="48">
      <x:c r="A48" s="329" t="n">
        <x:f>'Input Harian'!B34</x:f>
        <x:v>0</x:v>
      </x:c>
      <x:c r="B48" t="n">
        <x:f>'Input Harian'!N34</x:f>
        <x:v>0</x:v>
      </x:c>
      <x:c r="C48" t="n">
        <x:f>Parameter!$B$5</x:f>
        <x:v>30</x:v>
      </x:c>
    </x:row>
  </x:sheetData>
  <x:mergeCells>
    <x:mergeCell ref="A1:L1"/>
    <x:mergeCell ref="A2:L2"/>
    <x:mergeCell ref="A4:C4"/>
    <x:mergeCell ref="D4:F4"/>
    <x:mergeCell ref="G4:I4"/>
    <x:mergeCell ref="J4:L4"/>
    <x:mergeCell ref="A5:C7"/>
    <x:mergeCell ref="D5:F7"/>
    <x:mergeCell ref="G5:I7"/>
    <x:mergeCell ref="J5:L7"/>
    <x:mergeCell ref="A10:D10"/>
    <x:mergeCell ref="F10:L10"/>
  </x:mergeCells>
  <x:conditionalFormatting sqref="G5:I7">
    <x:cfRule type="expression" dxfId="8" priority="1">
      <x:formula>G5&gt;Parameter!$B$6</x:formula>
    </x:cfRule>
  </x:conditionalFormatting>
  <x:conditionalFormatting sqref="J5:L7">
    <x:cfRule type="expression" dxfId="9" priority="2">
      <x:formula>J5&gt;0</x:formula>
    </x:cfRule>
  </x:conditionalFormatting>
  <x:conditionalFormatting sqref="L12:L21">
    <x:cfRule type="expression" dxfId="10" priority="3">
      <x:formula>L12="OVER LIMIT"</x:formula>
    </x:cfRule>
    <x:cfRule type="expression" dxfId="11" priority="4">
      <x:formula>L12="WARNING"</x:formula>
    </x:cfRule>
    <x:cfRule type="expression" dxfId="12" priority="5">
      <x:formula>L12="NORMAL"</x:formula>
    </x:cfRule>
  </x:conditionalFormatting>
  <x:pageMargins left="0.7" right="0.7" top="0.75" bottom="0.75" header="0.3" footer="0.3"/>
  <x:drawing xmlns:r="http://schemas.openxmlformats.org/officeDocument/2006/relationships" r:id="Re70b7bb8c7e24e59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4" hidden="0" customWidth="1"/>
    <x:col min="4" max="4" width="15" hidden="0" customWidth="1"/>
    <x:col min="5" max="5" width="18" hidden="0" customWidth="1"/>
    <x:col min="6" max="6" width="12" hidden="0" customWidth="1"/>
    <x:col min="7" max="7" width="14" hidden="0" customWidth="1"/>
    <x:col min="8" max="8" width="26" hidden="0" customWidth="1"/>
  </x:cols>
  <x:sheetData>
    <x:row r="1" ht="28" customHeight="1">
      <x:c r="A1" s="5" t="str">
        <x:v>FORM SERAH TERIMA &amp; PENGGANTIAN CUTTING BIT CAT RM500</x:v>
      </x:c>
      <x:c r="B1" s="5"/>
      <x:c r="C1" s="5"/>
      <x:c r="D1" s="5"/>
      <x:c r="E1" s="5"/>
      <x:c r="F1" s="5"/>
      <x:c r="G1" s="5"/>
      <x:c r="H1" s="5"/>
    </x:row>
    <x:row r="3">
      <x:c r="A3" s="347" t="str">
        <x:v>Tanggal</x:v>
      </x:c>
      <x:c r="B3" s="332" t="str"/>
      <x:c r="C3" s="332" t="str"/>
      <x:c r="D3" s="332" t="str"/>
      <x:c r="E3" s="353" t="str">
        <x:v>Shift</x:v>
      </x:c>
      <x:c r="F3" s="332" t="str"/>
      <x:c r="G3" s="332" t="str"/>
      <x:c r="H3" s="333" t="str"/>
    </x:row>
    <x:row r="4">
      <x:c r="A4" s="348" t="str">
        <x:v>Unit</x:v>
      </x:c>
      <x:c r="B4" s="30" t="str">
        <x:v>CAT RM500</x:v>
      </x:c>
      <x:c r="C4" s="30" t="str"/>
      <x:c r="D4" s="30" t="str"/>
      <x:c r="E4" s="16" t="str">
        <x:v>Lokasi/STA</x:v>
      </x:c>
      <x:c r="F4" s="30" t="str"/>
      <x:c r="G4" s="30" t="str"/>
      <x:c r="H4" s="335" t="str"/>
    </x:row>
    <x:row r="5">
      <x:c r="A5" s="348" t="str">
        <x:v>HM Saat Penggantian</x:v>
      </x:c>
      <x:c r="B5" s="30" t="str"/>
      <x:c r="C5" s="30" t="str"/>
      <x:c r="D5" s="30" t="str"/>
      <x:c r="E5" s="16" t="str">
        <x:v>Operator</x:v>
      </x:c>
      <x:c r="F5" s="30" t="str"/>
      <x:c r="G5" s="30" t="str"/>
      <x:c r="H5" s="335" t="str"/>
    </x:row>
    <x:row r="6">
      <x:c r="A6" s="348" t="str">
        <x:v>Mekanik</x:v>
      </x:c>
      <x:c r="B6" s="30" t="str"/>
      <x:c r="C6" s="30" t="str"/>
      <x:c r="D6" s="30" t="str"/>
      <x:c r="E6" s="16" t="str">
        <x:v>Supervisor</x:v>
      </x:c>
      <x:c r="F6" s="30" t="str"/>
      <x:c r="G6" s="30" t="str"/>
      <x:c r="H6" s="335" t="str"/>
    </x:row>
    <x:row r="7">
      <x:c r="A7" s="348" t="str">
        <x:v>Jumlah Bit Baru Diambil</x:v>
      </x:c>
      <x:c r="B7" s="30" t="str"/>
      <x:c r="C7" s="30" t="str"/>
      <x:c r="D7" s="30" t="str"/>
      <x:c r="E7" s="16" t="str">
        <x:v>Bit Bekas Dikembalikan</x:v>
      </x:c>
      <x:c r="F7" s="30" t="str"/>
      <x:c r="G7" s="30" t="str"/>
      <x:c r="H7" s="335" t="str"/>
    </x:row>
    <x:row r="8">
      <x:c r="A8" s="349" t="str">
        <x:v>Bit Hilang/Tidak Kembali</x:v>
      </x:c>
      <x:c r="B8" s="337" t="str"/>
      <x:c r="C8" s="337" t="str"/>
      <x:c r="D8" s="337" t="str"/>
      <x:c r="E8" s="354" t="str">
        <x:v>No. Foto/Bukti</x:v>
      </x:c>
      <x:c r="F8" s="337" t="str"/>
      <x:c r="G8" s="337" t="str"/>
      <x:c r="H8" s="338" t="str"/>
    </x:row>
    <x:row r="10">
      <x:c r="A10" s="12" t="str">
        <x:v>KONDISI CUTTING BIT YANG DIGANTI</x:v>
      </x:c>
      <x:c r="B10" s="12"/>
      <x:c r="C10" s="12"/>
      <x:c r="D10" s="12"/>
      <x:c r="E10" s="12"/>
      <x:c r="F10" s="12"/>
      <x:c r="G10" s="12"/>
      <x:c r="H10" s="12"/>
    </x:row>
    <x:row r="11" ht="35" customHeight="1">
      <x:c r="A11" s="363" t="str">
        <x:v>No.</x:v>
      </x:c>
      <x:c r="B11" s="364" t="str">
        <x:v>Posisi Drum</x:v>
      </x:c>
      <x:c r="C11" s="364" t="str">
        <x:v>Aus Normal</x:v>
      </x:c>
      <x:c r="D11" s="364" t="str">
        <x:v>Pecah</x:v>
      </x:c>
      <x:c r="E11" s="364" t="str">
        <x:v>Macet/Tidak Berputar</x:v>
      </x:c>
      <x:c r="F11" s="364" t="str">
        <x:v>Hilang</x:v>
      </x:c>
      <x:c r="G11" s="364" t="str">
        <x:v>Jumlah</x:v>
      </x:c>
      <x:c r="H11" s="365" t="str">
        <x:v>Keterangan</x:v>
      </x:c>
    </x:row>
    <x:row r="12">
      <x:c r="A12" s="334" t="n">
        <x:v>1</x:v>
      </x:c>
      <x:c r="B12" s="30" t="str"/>
      <x:c r="C12" s="30" t="str"/>
      <x:c r="D12" s="30" t="str"/>
      <x:c r="E12" s="30" t="str"/>
      <x:c r="F12" s="30" t="str"/>
      <x:c r="G12" s="30" t="str"/>
      <x:c r="H12" s="335" t="str"/>
    </x:row>
    <x:row r="13">
      <x:c r="A13" s="334" t="n">
        <x:v>2</x:v>
      </x:c>
      <x:c r="B13" s="30" t="str"/>
      <x:c r="C13" s="30" t="str"/>
      <x:c r="D13" s="30" t="str"/>
      <x:c r="E13" s="30" t="str"/>
      <x:c r="F13" s="30" t="str"/>
      <x:c r="G13" s="30" t="str"/>
      <x:c r="H13" s="335" t="str"/>
    </x:row>
    <x:row r="14">
      <x:c r="A14" s="334" t="n">
        <x:v>3</x:v>
      </x:c>
      <x:c r="B14" s="30" t="str"/>
      <x:c r="C14" s="30" t="str"/>
      <x:c r="D14" s="30" t="str"/>
      <x:c r="E14" s="30" t="str"/>
      <x:c r="F14" s="30" t="str"/>
      <x:c r="G14" s="30" t="str"/>
      <x:c r="H14" s="335" t="str"/>
    </x:row>
    <x:row r="15">
      <x:c r="A15" s="336" t="n">
        <x:v>4</x:v>
      </x:c>
      <x:c r="B15" s="337" t="str"/>
      <x:c r="C15" s="337" t="str"/>
      <x:c r="D15" s="337" t="str"/>
      <x:c r="E15" s="337" t="str"/>
      <x:c r="F15" s="337" t="str"/>
      <x:c r="G15" s="337" t="str"/>
      <x:c r="H15" s="338" t="str"/>
    </x:row>
    <x:row r="17">
      <x:c r="A17" s="12" t="str">
        <x:v>PENYEBAB / HASIL PEMERIKSAAN</x:v>
      </x:c>
      <x:c r="B17" s="12"/>
      <x:c r="C17" s="12"/>
      <x:c r="D17" s="12"/>
      <x:c r="E17" s="12"/>
      <x:c r="F17" s="12"/>
      <x:c r="G17" s="12"/>
      <x:c r="H17" s="12"/>
    </x:row>
    <x:row r="18">
      <x:c r="A18" s="331" t="str"/>
      <x:c r="B18" s="332"/>
      <x:c r="C18" s="332"/>
      <x:c r="D18" s="332"/>
      <x:c r="E18" s="332"/>
      <x:c r="F18" s="332"/>
      <x:c r="G18" s="332"/>
      <x:c r="H18" s="333"/>
    </x:row>
    <x:row r="19">
      <x:c r="A19" s="334"/>
      <x:c r="B19" s="30"/>
      <x:c r="C19" s="30"/>
      <x:c r="D19" s="30"/>
      <x:c r="E19" s="30"/>
      <x:c r="F19" s="30"/>
      <x:c r="G19" s="30"/>
      <x:c r="H19" s="335"/>
    </x:row>
    <x:row r="20">
      <x:c r="A20" s="334"/>
      <x:c r="B20" s="30"/>
      <x:c r="C20" s="30"/>
      <x:c r="D20" s="30"/>
      <x:c r="E20" s="30"/>
      <x:c r="F20" s="30"/>
      <x:c r="G20" s="30"/>
      <x:c r="H20" s="335"/>
    </x:row>
    <x:row r="21">
      <x:c r="A21" s="336"/>
      <x:c r="B21" s="337"/>
      <x:c r="C21" s="337"/>
      <x:c r="D21" s="337"/>
      <x:c r="E21" s="337"/>
      <x:c r="F21" s="337"/>
      <x:c r="G21" s="337"/>
      <x:c r="H21" s="338"/>
    </x:row>
    <x:row r="23">
      <x:c r="A23" t="str">
        <x:v>Dibuat oleh,</x:v>
      </x:c>
      <x:c r="B23" t="str"/>
      <x:c r="D23" t="str">
        <x:v>Diperiksa oleh,</x:v>
      </x:c>
      <x:c r="E23" t="str"/>
      <x:c r="G23" t="str">
        <x:v>Disetujui oleh,</x:v>
      </x:c>
      <x:c r="H23" t="str"/>
    </x:row>
    <x:row r="24">
      <x:c r="A24" t="str"/>
      <x:c r="B24" t="str"/>
      <x:c r="D24" t="str"/>
      <x:c r="E24" t="str"/>
      <x:c r="G24" t="str"/>
      <x:c r="H24" t="str"/>
    </x:row>
    <x:row r="25">
      <x:c r="A25" t="str"/>
      <x:c r="B25" t="str"/>
      <x:c r="D25" t="str"/>
      <x:c r="E25" t="str"/>
      <x:c r="G25" t="str"/>
      <x:c r="H25" t="str"/>
    </x:row>
    <x:row r="26">
      <x:c r="A26" t="str">
        <x:v>Operator/Mekanik</x:v>
      </x:c>
      <x:c r="B26" t="str"/>
      <x:c r="D26" t="str">
        <x:v>Supervisor</x:v>
      </x:c>
      <x:c r="E26" t="str"/>
      <x:c r="G26" t="str">
        <x:v>Equipment Manager</x:v>
      </x:c>
      <x:c r="H26" t="str"/>
    </x:row>
    <x:row r="27">
      <x:c r="A27" t="str">
        <x:v>Nama:</x:v>
      </x:c>
      <x:c r="B27" t="str"/>
      <x:c r="D27" t="str">
        <x:v>Nama:</x:v>
      </x:c>
      <x:c r="E27" t="str"/>
      <x:c r="G27" t="str">
        <x:v>Nama:</x:v>
      </x:c>
      <x:c r="H27" t="str"/>
    </x:row>
  </x:sheetData>
  <x:mergeCells>
    <x:mergeCell ref="A1:H1"/>
    <x:mergeCell ref="A10:H10"/>
    <x:mergeCell ref="A17:H17"/>
    <x:mergeCell ref="A18:H21"/>
  </x:mergeCells>
  <x:pageMargins left="0.7" right="0.7" top="0.75" bottom="0.75" header="0.3" footer="0.3"/>
</x:worksheet>
</file>